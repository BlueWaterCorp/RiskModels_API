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erkshire_quarterly" sheetId="2" state="visible" r:id="rId2"/>
    <sheet xmlns:r="http://schemas.openxmlformats.org/officeDocument/2006/relationships" name="Berkshire_summary" sheetId="3" state="visible" r:id="rId3"/>
    <sheet xmlns:r="http://schemas.openxmlformats.org/officeDocument/2006/relationships" name="Sharpe_bridge" sheetId="4" state="visible" r:id="rId4"/>
    <sheet xmlns:r="http://schemas.openxmlformats.org/officeDocument/2006/relationships" name="Hit_rate" sheetId="5" state="visible" r:id="rId5"/>
    <sheet xmlns:r="http://schemas.openxmlformats.org/officeDocument/2006/relationships" name="Lag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002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pivotButton="0" quotePrefix="0" xfId="0"/>
    <xf numFmtId="2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attribution_audit.xlsx</t>
        </is>
      </c>
      <c r="B1" s="2" t="inlineStr"/>
    </row>
    <row r="2">
      <c r="A2" s="3" t="inlineStr">
        <is>
          <t>Filer</t>
        </is>
      </c>
      <c r="B2" s="2" t="inlineStr">
        <is>
          <t>Berkshire Hathaway (BW-FILER-CIK0001067983)</t>
        </is>
      </c>
    </row>
    <row r="3">
      <c r="A3" s="3" t="inlineStr">
        <is>
          <t>Generated</t>
        </is>
      </c>
      <c r="B3" s="2" t="inlineStr">
        <is>
          <t>2026-09-07 · project closeout re-audit (supersedes the 2026-08-03 workbook)</t>
        </is>
      </c>
    </row>
    <row r="4">
      <c r="A4" s="3" t="inlineStr">
        <is>
          <t>Why regenerated</t>
        </is>
      </c>
      <c r="B4" s="2" t="inlineStr">
        <is>
          <t>Two bugs invalidated the 2026-08-03 numbers: (1) NaN-day poisoning in window_return silently nulled quarters (n 35-&gt;42, lagged gross Sharpe 0.85-&gt;0.99); (2) the TERMINAL row of get_filer_portfolio carries an open-ended forward return, not a one-quarter one, and was inflating the Stage 0 gate. Both fixed; every figure below is from the current run.</t>
        </is>
      </c>
    </row>
    <row r="5">
      <c r="A5" s="3" t="inlineStr">
        <is>
          <t>Purpose</t>
        </is>
      </c>
      <c r="B5" s="2" t="inlineStr">
        <is>
          <t>Recompute every published attribution number by hand. Summary sheet uses live formulas referencing Berkshire_quarterly.</t>
        </is>
      </c>
    </row>
    <row r="6">
      <c r="A6" s="3" t="inlineStr"/>
      <c r="B6" s="2" t="inlineStr"/>
    </row>
    <row r="7">
      <c r="A7" s="3" t="inlineStr">
        <is>
          <t>METHOD</t>
        </is>
      </c>
      <c r="B7" s="2" t="inlineStr"/>
    </row>
    <row r="8">
      <c r="A8" s="3" t="inlineStr">
        <is>
          <t>Returns</t>
        </is>
      </c>
      <c r="B8" s="2" t="inlineStr">
        <is>
          <t>GROSS returns, NOT excess over benchmark. Long-only 13F book. No costs/financing/borrow.</t>
        </is>
      </c>
    </row>
    <row r="9">
      <c r="A9" s="3" t="inlineStr">
        <is>
          <t>Rebuild</t>
        </is>
      </c>
      <c r="B9" s="2" t="inlineStr">
        <is>
          <t>Daily name-level: holdings weights x get_returns_decomposition per-name additive layers (l1=market, l2=sector, l3=subsector, l3_residual=idio). Renormalised to covered names.</t>
        </is>
      </c>
    </row>
    <row r="10">
      <c r="A10" s="3" t="inlineStr">
        <is>
          <t>Unlagged: TWO</t>
        </is>
      </c>
      <c r="B10" s="2" t="inlineStr">
        <is>
          <t>There are two unlagged twins and they answer different questions. UNLQ = teo -&gt; teo+3 months, a fixed forward quarter; this matches the endpoint's own window, so use it to compare rebuild vs endpoint (Stage 0, Sharpe_bridge step C). UNLT = teo_i -&gt; teo_j (next usable book), q_len-normalised; this mirrors the LAGGED window structure exactly, so use it for 'does the premium survive the lag'. They coincide except on the 6 windows spanning a missing book. An earlier workbook compared UNLQ against LAGGED, mixing the two — do not do that.</t>
        </is>
      </c>
    </row>
    <row r="11">
      <c r="A11" s="3" t="inlineStr">
        <is>
          <t>Lagged window</t>
        </is>
      </c>
      <c r="B11" s="2" t="inlineStr">
        <is>
          <t>entry -&gt; next entry, entry = teo + 45 CALENDAR days rolled to next trading day. Always invested; across a missing book the book is held longer (q_len&gt;1).</t>
        </is>
      </c>
    </row>
    <row r="12">
      <c r="A12" s="3" t="inlineStr">
        <is>
          <t>q_len</t>
        </is>
      </c>
      <c r="B12" s="2" t="inlineStr">
        <is>
          <t>window length in quarters. Per-quarter figures in the summary divide lagged window returns by q_len.</t>
        </is>
      </c>
    </row>
    <row r="13">
      <c r="A13" s="3" t="inlineStr"/>
      <c r="B13" s="2" t="inlineStr"/>
    </row>
    <row r="14">
      <c r="A14" s="3" t="inlineStr">
        <is>
          <t>CAVEATS</t>
        </is>
      </c>
      <c r="B14" s="2" t="inlineStr"/>
    </row>
    <row r="15">
      <c r="A15" s="3" t="inlineStr">
        <is>
          <t>Sample</t>
        </is>
      </c>
      <c r="B15" s="2" t="inlineStr">
        <is>
          <t>42 quarters. 3 excluded as STUB ROWS (2014-09-30, 2020-09-30, 2025-03-31) — those portfolio rows describe a 1-2 name portfolio holding 0.001%-0.8% of the AUM the neighbouring quarters report, so no holdings book matches them. 1 excluded as the terminal row (2025-12-31). Only 2021-06-30 is genuinely absent from the teo series; 2013-06-30 / 2015-06-30 / 2023-09-30 / 2023-12-31 are present but carry no portfolio_gross_return.</t>
        </is>
      </c>
    </row>
    <row r="16">
      <c r="A16" s="3" t="inlineStr">
        <is>
          <t>Rebuild bias</t>
        </is>
      </c>
      <c r="B16" s="2" t="inlineStr">
        <is>
          <t>Rebuild runs ~median +12 bps/q rich vs the endpoint's model-implied gross. Cancels in lagged-vs-unlagged deltas.</t>
        </is>
      </c>
    </row>
    <row r="17">
      <c r="A17" s="3" t="inlineStr">
        <is>
          <t>Linking residual</t>
        </is>
      </c>
      <c r="B17" s="2" t="inlineStr">
        <is>
          <t>Layers compounded each as own stream; sum != gross exactly (residual column). Small, matches the endpoint's own construction.</t>
        </is>
      </c>
    </row>
    <row r="18">
      <c r="A18" s="3" t="inlineStr">
        <is>
          <t>The 1.00 Sharpe</t>
        </is>
      </c>
      <c r="B18" s="2" t="inlineStr">
        <is>
          <t>Do NOT quote 1.003. It is computed over 46 quarters including three stub rows whose drop-idio returns average 837 bps/q against 372 for the real quarters. On the rebuildable sample the endpoint gives 0.91 and the independent daily rebuild 0.93. See Sharpe_bridge.</t>
        </is>
      </c>
    </row>
    <row r="19">
      <c r="A19" s="3" t="inlineStr">
        <is>
          <t>Hit-rate correction</t>
        </is>
      </c>
      <c r="B19" s="2" t="inlineStr">
        <is>
          <t>Meeting note '65% hit in L1' is WRONG. L1/market hit is far higher unlagged; 65% was sector+subsector. See Hit_rate (recomputed this run).</t>
        </is>
      </c>
    </row>
    <row r="20">
      <c r="A20" s="3" t="inlineStr">
        <is>
          <t>Filing dates</t>
        </is>
      </c>
      <c r="B20" s="2" t="inlineStr">
        <is>
          <t>'45-day lag' is 63-68% exactly 45 across four filers -&gt; largely a report_date+45 placeholder, not observed. See Lag_distribution.</t>
        </is>
      </c>
    </row>
    <row r="21">
      <c r="A21" s="3" t="inlineStr">
        <is>
          <t>SHEETS</t>
        </is>
      </c>
      <c r="B21" s="2" t="inlineStr">
        <is>
          <t>Berkshire_quarterly (raw data) · Berkshire_summary (live formulas) · Sharpe_bridge · Hit_rate · Lag_distribution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4" t="inlineStr">
        <is>
          <t>teo</t>
        </is>
      </c>
      <c r="B1" s="4" t="inlineStr">
        <is>
          <t>entry_date</t>
        </is>
      </c>
      <c r="C1" s="4" t="inlineStr">
        <is>
          <t>exit_date</t>
        </is>
      </c>
      <c r="D1" s="4" t="inlineStr">
        <is>
          <t>q_len</t>
        </is>
      </c>
      <c r="E1" s="4" t="inlineStr">
        <is>
          <t>n_names</t>
        </is>
      </c>
      <c r="F1" s="4" t="inlineStr">
        <is>
          <t>covered_weight</t>
        </is>
      </c>
      <c r="G1" s="4" t="inlineStr">
        <is>
          <t>gross_UNLQ</t>
        </is>
      </c>
      <c r="H1" s="4" t="inlineStr">
        <is>
          <t>market_UNLQ</t>
        </is>
      </c>
      <c r="I1" s="4" t="inlineStr">
        <is>
          <t>sector_UNLQ</t>
        </is>
      </c>
      <c r="J1" s="4" t="inlineStr">
        <is>
          <t>subsector_UNLQ</t>
        </is>
      </c>
      <c r="K1" s="4" t="inlineStr">
        <is>
          <t>idio_UNLQ</t>
        </is>
      </c>
      <c r="L1" s="4" t="inlineStr">
        <is>
          <t>linkresid_UNLQ</t>
        </is>
      </c>
      <c r="M1" s="4" t="inlineStr">
        <is>
          <t>gross_UNLT</t>
        </is>
      </c>
      <c r="N1" s="4" t="inlineStr">
        <is>
          <t>market_UNLT</t>
        </is>
      </c>
      <c r="O1" s="4" t="inlineStr">
        <is>
          <t>sector_UNLT</t>
        </is>
      </c>
      <c r="P1" s="4" t="inlineStr">
        <is>
          <t>subsector_UNLT</t>
        </is>
      </c>
      <c r="Q1" s="4" t="inlineStr">
        <is>
          <t>idio_UNLT</t>
        </is>
      </c>
      <c r="R1" s="4" t="inlineStr">
        <is>
          <t>gross_LAG</t>
        </is>
      </c>
      <c r="S1" s="4" t="inlineStr">
        <is>
          <t>market_LAG</t>
        </is>
      </c>
      <c r="T1" s="4" t="inlineStr">
        <is>
          <t>sector_LAG</t>
        </is>
      </c>
      <c r="U1" s="4" t="inlineStr">
        <is>
          <t>subsector_LAG</t>
        </is>
      </c>
      <c r="V1" s="4" t="inlineStr">
        <is>
          <t>idio_LAG</t>
        </is>
      </c>
      <c r="W1" s="4" t="inlineStr">
        <is>
          <t>linkresid_LAG</t>
        </is>
      </c>
      <c r="X1" s="4" t="inlineStr">
        <is>
          <t>gross_LAG_perQ</t>
        </is>
      </c>
      <c r="Y1" s="4" t="inlineStr">
        <is>
          <t>market_LAG_perQ</t>
        </is>
      </c>
      <c r="Z1" s="4" t="inlineStr">
        <is>
          <t>sector_LAG_perQ</t>
        </is>
      </c>
      <c r="AA1" s="4" t="inlineStr">
        <is>
          <t>subsector_LAG_perQ</t>
        </is>
      </c>
      <c r="AB1" s="4" t="inlineStr">
        <is>
          <t>idio_LAG_perQ</t>
        </is>
      </c>
    </row>
    <row r="2">
      <c r="A2" t="inlineStr">
        <is>
          <t>2013-09-30</t>
        </is>
      </c>
      <c r="B2" t="inlineStr">
        <is>
          <t>2013-11-14</t>
        </is>
      </c>
      <c r="C2" t="inlineStr">
        <is>
          <t>2014-02-14</t>
        </is>
      </c>
      <c r="D2" t="n">
        <v>1.007529089664613</v>
      </c>
      <c r="E2" t="n">
        <v>18</v>
      </c>
      <c r="F2" t="n">
        <v>0.967500467113383</v>
      </c>
      <c r="G2" t="n">
        <v>0.09640491106589184</v>
      </c>
      <c r="H2" t="n">
        <v>0.08722415849208251</v>
      </c>
      <c r="I2" t="n">
        <v>0.00247782130054767</v>
      </c>
      <c r="J2" t="n">
        <v>0.004761381169373842</v>
      </c>
      <c r="K2" t="n">
        <v>0.001296806612199403</v>
      </c>
      <c r="L2" t="n">
        <v>0.0006447434916884154</v>
      </c>
      <c r="M2" t="n">
        <v>0.1020826888997892</v>
      </c>
      <c r="N2" t="n">
        <v>0.09102871617874081</v>
      </c>
      <c r="O2" t="n">
        <v>0.001464765444085248</v>
      </c>
      <c r="P2" t="n">
        <v>0.004777196157586625</v>
      </c>
      <c r="Q2" t="n">
        <v>0.003951417559900135</v>
      </c>
      <c r="R2" t="n">
        <v>0.01144253988482648</v>
      </c>
      <c r="S2" t="n">
        <v>0.0284206590031337</v>
      </c>
      <c r="T2" t="n">
        <v>-0.01707744507187343</v>
      </c>
      <c r="U2" t="n">
        <v>0.003793176363218436</v>
      </c>
      <c r="V2" t="n">
        <v>-0.00310919252692018</v>
      </c>
      <c r="W2" t="n">
        <v>-0.0005846578827320408</v>
      </c>
      <c r="X2" t="n">
        <v>0.01135703177427411</v>
      </c>
      <c r="Y2" t="n">
        <v>0.02820827636112659</v>
      </c>
      <c r="Z2" t="n">
        <v>-0.01694982829484177</v>
      </c>
      <c r="AA2" t="n">
        <v>0.003764830615938951</v>
      </c>
      <c r="AB2" t="n">
        <v>-0.003085958071895641</v>
      </c>
    </row>
    <row r="3">
      <c r="A3" t="inlineStr">
        <is>
          <t>2013-12-31</t>
        </is>
      </c>
      <c r="B3" t="inlineStr">
        <is>
          <t>2014-02-14</t>
        </is>
      </c>
      <c r="C3" t="inlineStr">
        <is>
          <t>2014-05-15</t>
        </is>
      </c>
      <c r="D3" t="n">
        <v>0.9856262833675564</v>
      </c>
      <c r="E3" t="n">
        <v>17</v>
      </c>
      <c r="F3" t="n">
        <v>0.9667195924465722</v>
      </c>
      <c r="G3" t="n">
        <v>-0.02055271911632533</v>
      </c>
      <c r="H3" t="n">
        <v>0.016572275751089</v>
      </c>
      <c r="I3" t="n">
        <v>-0.001910567346033907</v>
      </c>
      <c r="J3" t="n">
        <v>-0.001623720707316143</v>
      </c>
      <c r="K3" t="n">
        <v>-0.03332506246443324</v>
      </c>
      <c r="L3" t="n">
        <v>-0.0002656443496310487</v>
      </c>
      <c r="M3" t="n">
        <v>-0.02085244627010508</v>
      </c>
      <c r="N3" t="n">
        <v>0.01681395477245905</v>
      </c>
      <c r="O3" t="n">
        <v>-0.001938429786496901</v>
      </c>
      <c r="P3" t="n">
        <v>-0.00164739996763117</v>
      </c>
      <c r="Q3" t="n">
        <v>-0.03381105295870623</v>
      </c>
      <c r="R3" t="n">
        <v>0.01533097257352145</v>
      </c>
      <c r="S3" t="n">
        <v>0.02083342600152762</v>
      </c>
      <c r="T3" t="n">
        <v>0.009202669567237309</v>
      </c>
      <c r="U3" t="n">
        <v>-0.008315230502579237</v>
      </c>
      <c r="V3" t="n">
        <v>-0.006257166799521193</v>
      </c>
      <c r="W3" t="n">
        <v>-0.0001327256931430553</v>
      </c>
      <c r="X3" t="n">
        <v>0.0155545492568853</v>
      </c>
      <c r="Y3" t="n">
        <v>0.02113724679738323</v>
      </c>
      <c r="Z3" t="n">
        <v>0.009336875165092854</v>
      </c>
      <c r="AA3" t="n">
        <v>-0.008436494280741851</v>
      </c>
      <c r="AB3" t="n">
        <v>-0.006348417148680877</v>
      </c>
    </row>
    <row r="4">
      <c r="A4" t="inlineStr">
        <is>
          <t>2014-03-31</t>
        </is>
      </c>
      <c r="B4" t="inlineStr">
        <is>
          <t>2014-05-15</t>
        </is>
      </c>
      <c r="C4" t="inlineStr">
        <is>
          <t>2014-08-14</t>
        </is>
      </c>
      <c r="D4" t="n">
        <v>0.9965776865160849</v>
      </c>
      <c r="E4" t="n">
        <v>17</v>
      </c>
      <c r="F4" t="n">
        <v>0.965164331772808</v>
      </c>
      <c r="G4" t="n">
        <v>0.03151168701782987</v>
      </c>
      <c r="H4" t="n">
        <v>0.04530726406642251</v>
      </c>
      <c r="I4" t="n">
        <v>-0.00446618087649939</v>
      </c>
      <c r="J4" t="n">
        <v>-0.005110786484311087</v>
      </c>
      <c r="K4" t="n">
        <v>-0.004333164856414648</v>
      </c>
      <c r="L4" t="n">
        <v>0.0001145551686324783</v>
      </c>
      <c r="M4" t="n">
        <v>0.03161990022874274</v>
      </c>
      <c r="N4" t="n">
        <v>0.04546285219851874</v>
      </c>
      <c r="O4" t="n">
        <v>-0.004481518036102753</v>
      </c>
      <c r="P4" t="n">
        <v>-0.005128337262073144</v>
      </c>
      <c r="Q4" t="n">
        <v>-0.004348045230234753</v>
      </c>
      <c r="R4" t="n">
        <v>0.01233948505061073</v>
      </c>
      <c r="S4" t="n">
        <v>0.04410045893107884</v>
      </c>
      <c r="T4" t="n">
        <v>-0.005033475495287513</v>
      </c>
      <c r="U4" t="n">
        <v>0.0002739506326656107</v>
      </c>
      <c r="V4" t="n">
        <v>-0.02545299893922368</v>
      </c>
      <c r="W4" t="n">
        <v>-0.001548450078622523</v>
      </c>
      <c r="X4" t="n">
        <v>0.01238185965586695</v>
      </c>
      <c r="Y4" t="n">
        <v>0.04425190281477073</v>
      </c>
      <c r="Z4" t="n">
        <v>-0.005050760782015835</v>
      </c>
      <c r="AA4" t="n">
        <v>0.0002748913972008634</v>
      </c>
      <c r="AB4" t="n">
        <v>-0.02554040621580068</v>
      </c>
    </row>
    <row r="5">
      <c r="A5" t="inlineStr">
        <is>
          <t>2014-06-30</t>
        </is>
      </c>
      <c r="B5" t="inlineStr">
        <is>
          <t>2014-08-14</t>
        </is>
      </c>
      <c r="C5" t="inlineStr">
        <is>
          <t>2015-02-17</t>
        </is>
      </c>
      <c r="D5" t="n">
        <v>2.047912388774812</v>
      </c>
      <c r="E5" t="n">
        <v>18</v>
      </c>
      <c r="F5" t="n">
        <v>0.9680874648836572</v>
      </c>
      <c r="G5" t="n">
        <v>0.009351424064408967</v>
      </c>
      <c r="H5" t="n">
        <v>0.009221899342047349</v>
      </c>
      <c r="I5" t="n">
        <v>0.008207106566805088</v>
      </c>
      <c r="J5" t="n">
        <v>-1.121542935390124e-05</v>
      </c>
      <c r="K5" t="n">
        <v>-0.007157908394093838</v>
      </c>
      <c r="L5" t="n">
        <v>-0.0009084580209957286</v>
      </c>
      <c r="M5" t="n">
        <v>0.007077351239139774</v>
      </c>
      <c r="N5" t="n">
        <v>0.02570835451283039</v>
      </c>
      <c r="O5" t="n">
        <v>0.01411077179482029</v>
      </c>
      <c r="P5" t="n">
        <v>-0.0001890608629692801</v>
      </c>
      <c r="Q5" t="n">
        <v>-0.0302545175087767</v>
      </c>
      <c r="R5" t="n">
        <v>-0.004449544331008601</v>
      </c>
      <c r="S5" t="n">
        <v>0.0746029808530851</v>
      </c>
      <c r="T5" t="n">
        <v>0.02357459616570894</v>
      </c>
      <c r="U5" t="n">
        <v>0.000452634714186352</v>
      </c>
      <c r="V5" t="n">
        <v>-0.09609813019046576</v>
      </c>
      <c r="W5" t="n">
        <v>-0.006981625873523237</v>
      </c>
      <c r="X5" t="n">
        <v>-0.002172722014573385</v>
      </c>
      <c r="Y5" t="n">
        <v>0.03642879512913013</v>
      </c>
      <c r="Z5" t="n">
        <v>0.01151152573465935</v>
      </c>
      <c r="AA5" t="n">
        <v>0.0002210224991397929</v>
      </c>
      <c r="AB5" t="n">
        <v>-0.04692492252950217</v>
      </c>
    </row>
    <row r="6">
      <c r="A6" t="inlineStr">
        <is>
          <t>2014-12-31</t>
        </is>
      </c>
      <c r="B6" t="inlineStr">
        <is>
          <t>2015-02-17</t>
        </is>
      </c>
      <c r="C6" t="inlineStr">
        <is>
          <t>2015-05-15</t>
        </is>
      </c>
      <c r="D6" t="n">
        <v>0.9527720739219713</v>
      </c>
      <c r="E6" t="n">
        <v>19</v>
      </c>
      <c r="F6" t="n">
        <v>0.9641512224471884</v>
      </c>
      <c r="G6" t="n">
        <v>-0.04531901257628535</v>
      </c>
      <c r="H6" t="n">
        <v>0.008529701407875928</v>
      </c>
      <c r="I6" t="n">
        <v>-0.004436353204453922</v>
      </c>
      <c r="J6" t="n">
        <v>0.0006931789477456221</v>
      </c>
      <c r="K6" t="n">
        <v>-0.05075360045509775</v>
      </c>
      <c r="L6" t="n">
        <v>0.0006480607276447767</v>
      </c>
      <c r="M6" t="n">
        <v>-0.04756542914795467</v>
      </c>
      <c r="N6" t="n">
        <v>0.008952509882835295</v>
      </c>
      <c r="O6" t="n">
        <v>-0.004656258643467802</v>
      </c>
      <c r="P6" t="n">
        <v>0.0007275391111037025</v>
      </c>
      <c r="Q6" t="n">
        <v>-0.05326940392593234</v>
      </c>
      <c r="R6" t="n">
        <v>0.01971499391437566</v>
      </c>
      <c r="S6" t="n">
        <v>0.01452756704844887</v>
      </c>
      <c r="T6" t="n">
        <v>-0.0008993066730396828</v>
      </c>
      <c r="U6" t="n">
        <v>0.0009974373234018987</v>
      </c>
      <c r="V6" t="n">
        <v>0.005134210566697988</v>
      </c>
      <c r="W6" t="n">
        <v>-4.491435113341755e-05</v>
      </c>
      <c r="X6" t="n">
        <v>0.02069224576788996</v>
      </c>
      <c r="Y6" t="n">
        <v>0.01524768351852284</v>
      </c>
      <c r="Z6" t="n">
        <v>-0.0009438843745050118</v>
      </c>
      <c r="AA6" t="n">
        <v>0.001046879259691217</v>
      </c>
      <c r="AB6" t="n">
        <v>0.005388708073236897</v>
      </c>
    </row>
    <row r="7">
      <c r="A7" t="inlineStr">
        <is>
          <t>2015-03-31</t>
        </is>
      </c>
      <c r="B7" t="inlineStr">
        <is>
          <t>2015-05-15</t>
        </is>
      </c>
      <c r="C7" t="inlineStr">
        <is>
          <t>2015-11-16</t>
        </is>
      </c>
      <c r="D7" t="n">
        <v>2.026009582477755</v>
      </c>
      <c r="E7" t="n">
        <v>19</v>
      </c>
      <c r="F7" t="n">
        <v>0.9567890851768757</v>
      </c>
      <c r="G7" t="n">
        <v>-0.009137546981081034</v>
      </c>
      <c r="H7" t="n">
        <v>0.002345188540575751</v>
      </c>
      <c r="I7" t="n">
        <v>-0.003383941594240477</v>
      </c>
      <c r="J7" t="n">
        <v>0.00118425076850609</v>
      </c>
      <c r="K7" t="n">
        <v>-0.00929076109890504</v>
      </c>
      <c r="L7" t="n">
        <v>7.716402982641674e-06</v>
      </c>
      <c r="M7" t="n">
        <v>-0.02975389282691716</v>
      </c>
      <c r="N7" t="n">
        <v>-0.02647538143265386</v>
      </c>
      <c r="O7" t="n">
        <v>0.008405235389267466</v>
      </c>
      <c r="P7" t="n">
        <v>-0.001263979116706732</v>
      </c>
      <c r="Q7" t="n">
        <v>-0.01102791178660933</v>
      </c>
      <c r="R7" t="n">
        <v>-0.08585433482762592</v>
      </c>
      <c r="S7" t="n">
        <v>-0.02241446636325227</v>
      </c>
      <c r="T7" t="n">
        <v>0.0100256285976605</v>
      </c>
      <c r="U7" t="n">
        <v>-0.003538819248836702</v>
      </c>
      <c r="V7" t="n">
        <v>-0.07131214920443422</v>
      </c>
      <c r="W7" t="n">
        <v>0.001385471391236792</v>
      </c>
      <c r="X7" t="n">
        <v>-0.04237607539971671</v>
      </c>
      <c r="Y7" t="n">
        <v>-0.01106335653942958</v>
      </c>
      <c r="Z7" t="n">
        <v>0.00494846060175067</v>
      </c>
      <c r="AA7" t="n">
        <v>-0.001746694230591358</v>
      </c>
      <c r="AB7" t="n">
        <v>-0.03519832769854</v>
      </c>
    </row>
    <row r="8">
      <c r="A8" t="inlineStr">
        <is>
          <t>2015-09-30</t>
        </is>
      </c>
      <c r="B8" t="inlineStr">
        <is>
          <t>2015-11-16</t>
        </is>
      </c>
      <c r="C8" t="inlineStr">
        <is>
          <t>2016-02-16</t>
        </is>
      </c>
      <c r="D8" t="n">
        <v>1.007529089664613</v>
      </c>
      <c r="E8" t="n">
        <v>19</v>
      </c>
      <c r="F8" t="n">
        <v>0.9571303908803622</v>
      </c>
      <c r="G8" t="n">
        <v>0.03303929494550554</v>
      </c>
      <c r="H8" t="n">
        <v>0.06713355365564569</v>
      </c>
      <c r="I8" t="n">
        <v>0.007175472887449831</v>
      </c>
      <c r="J8" t="n">
        <v>-0.001702155589328782</v>
      </c>
      <c r="K8" t="n">
        <v>-0.03724554976357803</v>
      </c>
      <c r="L8" t="n">
        <v>-0.002322026244683167</v>
      </c>
      <c r="M8" t="n">
        <v>0.02169883373505477</v>
      </c>
      <c r="N8" t="n">
        <v>0.05781575230225681</v>
      </c>
      <c r="O8" t="n">
        <v>0.0059403301210881</v>
      </c>
      <c r="P8" t="n">
        <v>-0.001544756349924768</v>
      </c>
      <c r="Q8" t="n">
        <v>-0.03837015994536378</v>
      </c>
      <c r="R8" t="n">
        <v>-0.05976600634845141</v>
      </c>
      <c r="S8" t="n">
        <v>-0.05972759466610488</v>
      </c>
      <c r="T8" t="n">
        <v>0.02347319562934446</v>
      </c>
      <c r="U8" t="n">
        <v>-0.001413310582353336</v>
      </c>
      <c r="V8" t="n">
        <v>-0.02569833146345773</v>
      </c>
      <c r="W8" t="n">
        <v>0.003600034734120079</v>
      </c>
      <c r="X8" t="n">
        <v>-0.0593193853770975</v>
      </c>
      <c r="Y8" t="n">
        <v>-0.05928126073857285</v>
      </c>
      <c r="Z8" t="n">
        <v>0.02329778452070127</v>
      </c>
      <c r="AA8" t="n">
        <v>-0.001402749158164554</v>
      </c>
      <c r="AB8" t="n">
        <v>-0.02550629230170635</v>
      </c>
    </row>
    <row r="9">
      <c r="A9" t="inlineStr">
        <is>
          <t>2015-12-31</t>
        </is>
      </c>
      <c r="B9" t="inlineStr">
        <is>
          <t>2016-02-16</t>
        </is>
      </c>
      <c r="C9" t="inlineStr">
        <is>
          <t>2016-05-16</t>
        </is>
      </c>
      <c r="D9" t="n">
        <v>0.9856262833675564</v>
      </c>
      <c r="E9" t="n">
        <v>20</v>
      </c>
      <c r="F9" t="n">
        <v>0.9587639079992607</v>
      </c>
      <c r="G9" t="n">
        <v>0.03198683029975465</v>
      </c>
      <c r="H9" t="n">
        <v>0.007451095752525195</v>
      </c>
      <c r="I9" t="n">
        <v>0.007190031655891541</v>
      </c>
      <c r="J9" t="n">
        <v>-0.003681761566142635</v>
      </c>
      <c r="K9" t="n">
        <v>0.01858924712131434</v>
      </c>
      <c r="L9" t="n">
        <v>0.002438217336166209</v>
      </c>
      <c r="M9" t="n">
        <v>0.03245330490829274</v>
      </c>
      <c r="N9" t="n">
        <v>0.007559757565582854</v>
      </c>
      <c r="O9" t="n">
        <v>0.007294886284206627</v>
      </c>
      <c r="P9" t="n">
        <v>-0.003735453922315549</v>
      </c>
      <c r="Q9" t="n">
        <v>0.01886034030850018</v>
      </c>
      <c r="R9" t="n">
        <v>0.120442050294014</v>
      </c>
      <c r="S9" t="n">
        <v>0.07455032586720355</v>
      </c>
      <c r="T9" t="n">
        <v>9.394870303276062e-05</v>
      </c>
      <c r="U9" t="n">
        <v>-0.007017846931217533</v>
      </c>
      <c r="V9" t="n">
        <v>0.05057184424352903</v>
      </c>
      <c r="W9" t="n">
        <v>0.002243778411466182</v>
      </c>
      <c r="X9" t="n">
        <v>0.1221984968608017</v>
      </c>
      <c r="Y9" t="n">
        <v>0.0756375181194336</v>
      </c>
      <c r="Z9" t="n">
        <v>9.531878828532171e-05</v>
      </c>
      <c r="AA9" t="n">
        <v>-0.007120190532297789</v>
      </c>
      <c r="AB9" t="n">
        <v>0.05130935030541384</v>
      </c>
    </row>
    <row r="10">
      <c r="A10" t="inlineStr">
        <is>
          <t>2016-03-31</t>
        </is>
      </c>
      <c r="B10" t="inlineStr">
        <is>
          <t>2016-05-16</t>
        </is>
      </c>
      <c r="C10" t="inlineStr">
        <is>
          <t>2016-08-15</t>
        </is>
      </c>
      <c r="D10" t="n">
        <v>0.9965776865160849</v>
      </c>
      <c r="E10" t="n">
        <v>21</v>
      </c>
      <c r="F10" t="n">
        <v>0.9707503231700106</v>
      </c>
      <c r="G10" t="n">
        <v>-0.004861404198913154</v>
      </c>
      <c r="H10" t="n">
        <v>0.02012943113779432</v>
      </c>
      <c r="I10" t="n">
        <v>0.002977504925961035</v>
      </c>
      <c r="J10" t="n">
        <v>-0.007425809677021801</v>
      </c>
      <c r="K10" t="n">
        <v>-0.01850350584289726</v>
      </c>
      <c r="L10" t="n">
        <v>-0.002039024742749443</v>
      </c>
      <c r="M10" t="n">
        <v>-0.004878098581464366</v>
      </c>
      <c r="N10" t="n">
        <v>0.02019855693153674</v>
      </c>
      <c r="O10" t="n">
        <v>0.002987729874195791</v>
      </c>
      <c r="P10" t="n">
        <v>-0.007451310397066519</v>
      </c>
      <c r="Q10" t="n">
        <v>-0.01856704810197314</v>
      </c>
      <c r="R10" t="n">
        <v>0.03652045950093537</v>
      </c>
      <c r="S10" t="n">
        <v>0.05370800368601378</v>
      </c>
      <c r="T10" t="n">
        <v>-0.003863015869594288</v>
      </c>
      <c r="U10" t="n">
        <v>0.002482918005769311</v>
      </c>
      <c r="V10" t="n">
        <v>-0.01439302039374441</v>
      </c>
      <c r="W10" t="n">
        <v>-0.001414425927509011</v>
      </c>
      <c r="X10" t="n">
        <v>0.03664587316680397</v>
      </c>
      <c r="Y10" t="n">
        <v>0.0538924405118586</v>
      </c>
      <c r="Z10" t="n">
        <v>-0.003876281720794818</v>
      </c>
      <c r="AA10" t="n">
        <v>0.002491444509910002</v>
      </c>
      <c r="AB10" t="n">
        <v>-0.01444244697476689</v>
      </c>
    </row>
    <row r="11">
      <c r="A11" t="inlineStr">
        <is>
          <t>2016-06-30</t>
        </is>
      </c>
      <c r="B11" t="inlineStr">
        <is>
          <t>2016-08-15</t>
        </is>
      </c>
      <c r="C11" t="inlineStr">
        <is>
          <t>2016-11-14</t>
        </is>
      </c>
      <c r="D11" t="n">
        <v>0.9965776865160849</v>
      </c>
      <c r="E11" t="n">
        <v>22</v>
      </c>
      <c r="F11" t="n">
        <v>0.9838950631038622</v>
      </c>
      <c r="G11" t="n">
        <v>0.03020837357465554</v>
      </c>
      <c r="H11" t="n">
        <v>0.03179475238123737</v>
      </c>
      <c r="I11" t="n">
        <v>-0.007256370729737721</v>
      </c>
      <c r="J11" t="n">
        <v>0.007305806933152558</v>
      </c>
      <c r="K11" t="n">
        <v>-0.002356432601507004</v>
      </c>
      <c r="L11" t="n">
        <v>0.0007206175915103301</v>
      </c>
      <c r="M11" t="n">
        <v>0.0303121111212718</v>
      </c>
      <c r="N11" t="n">
        <v>0.03190393765727184</v>
      </c>
      <c r="O11" t="n">
        <v>-0.007281289585265666</v>
      </c>
      <c r="P11" t="n">
        <v>0.00733089555586256</v>
      </c>
      <c r="Q11" t="n">
        <v>-0.002364524746429761</v>
      </c>
      <c r="R11" t="n">
        <v>0.003715137951380137</v>
      </c>
      <c r="S11" t="n">
        <v>-0.004957856047545388</v>
      </c>
      <c r="T11" t="n">
        <v>0.004676507820576345</v>
      </c>
      <c r="U11" t="n">
        <v>-0.0006181484152198421</v>
      </c>
      <c r="V11" t="n">
        <v>0.004507334604553721</v>
      </c>
      <c r="W11" t="n">
        <v>0.0001072999890153006</v>
      </c>
      <c r="X11" t="n">
        <v>0.003727895980059327</v>
      </c>
      <c r="Y11" t="n">
        <v>-0.004974881652104266</v>
      </c>
      <c r="Z11" t="n">
        <v>0.004692567256773379</v>
      </c>
      <c r="AA11" t="n">
        <v>-0.0006202711776347454</v>
      </c>
      <c r="AB11" t="n">
        <v>0.004522813088772656</v>
      </c>
    </row>
    <row r="12">
      <c r="A12" t="inlineStr">
        <is>
          <t>2016-09-30</t>
        </is>
      </c>
      <c r="B12" t="inlineStr">
        <is>
          <t>2016-11-14</t>
        </is>
      </c>
      <c r="C12" t="inlineStr">
        <is>
          <t>2017-02-14</t>
        </is>
      </c>
      <c r="D12" t="n">
        <v>1.007529089664613</v>
      </c>
      <c r="E12" t="n">
        <v>22</v>
      </c>
      <c r="F12" t="n">
        <v>0.9820901932970013</v>
      </c>
      <c r="G12" t="n">
        <v>0.05941187324148553</v>
      </c>
      <c r="H12" t="n">
        <v>0.03635946034793398</v>
      </c>
      <c r="I12" t="n">
        <v>0.01492031418237891</v>
      </c>
      <c r="J12" t="n">
        <v>-0.005080769640951986</v>
      </c>
      <c r="K12" t="n">
        <v>0.01150325909773253</v>
      </c>
      <c r="L12" t="n">
        <v>0.001709609254392092</v>
      </c>
      <c r="M12" t="n">
        <v>0.05896789864525161</v>
      </c>
      <c r="N12" t="n">
        <v>0.03608775242413828</v>
      </c>
      <c r="O12" t="n">
        <v>0.01480881726933125</v>
      </c>
      <c r="P12" t="n">
        <v>-0.005042801933037263</v>
      </c>
      <c r="Q12" t="n">
        <v>0.01141729724306197</v>
      </c>
      <c r="R12" t="n">
        <v>0.09500196176440465</v>
      </c>
      <c r="S12" t="n">
        <v>0.0789667078069777</v>
      </c>
      <c r="T12" t="n">
        <v>0.01049976881888087</v>
      </c>
      <c r="U12" t="n">
        <v>-0.001389825267511631</v>
      </c>
      <c r="V12" t="n">
        <v>0.00552036681011421</v>
      </c>
      <c r="W12" t="n">
        <v>0.001404943595943495</v>
      </c>
      <c r="X12" t="n">
        <v>0.09429202862621956</v>
      </c>
      <c r="Y12" t="n">
        <v>0.07837660333287666</v>
      </c>
      <c r="Z12" t="n">
        <v>0.01042130587254412</v>
      </c>
      <c r="AA12" t="n">
        <v>-0.001379439344996259</v>
      </c>
      <c r="AB12" t="n">
        <v>0.00547911406900602</v>
      </c>
    </row>
    <row r="13">
      <c r="A13" t="inlineStr">
        <is>
          <t>2016-12-31</t>
        </is>
      </c>
      <c r="B13" t="inlineStr">
        <is>
          <t>2017-02-14</t>
        </is>
      </c>
      <c r="C13" t="inlineStr">
        <is>
          <t>2017-05-15</t>
        </is>
      </c>
      <c r="D13" t="n">
        <v>0.9856262833675564</v>
      </c>
      <c r="E13" t="n">
        <v>22</v>
      </c>
      <c r="F13" t="n">
        <v>0.9840521773963848</v>
      </c>
      <c r="G13" t="n">
        <v>0.07524945307752527</v>
      </c>
      <c r="H13" t="n">
        <v>0.05799066292612915</v>
      </c>
      <c r="I13" t="n">
        <v>0.009407118344093357</v>
      </c>
      <c r="J13" t="n">
        <v>-0.003796913667324334</v>
      </c>
      <c r="K13" t="n">
        <v>0.01068227918760359</v>
      </c>
      <c r="L13" t="n">
        <v>0.0009663062870235162</v>
      </c>
      <c r="M13" t="n">
        <v>0.07634684093490585</v>
      </c>
      <c r="N13" t="n">
        <v>0.05883636009380187</v>
      </c>
      <c r="O13" t="n">
        <v>0.009544305486611386</v>
      </c>
      <c r="P13" t="n">
        <v>-0.003852285324972814</v>
      </c>
      <c r="Q13" t="n">
        <v>0.01083806242575615</v>
      </c>
      <c r="R13" t="n">
        <v>0.007344591805347256</v>
      </c>
      <c r="S13" t="n">
        <v>0.03168840839768083</v>
      </c>
      <c r="T13" t="n">
        <v>0.005012652334234092</v>
      </c>
      <c r="U13" t="n">
        <v>-0.005530453314835751</v>
      </c>
      <c r="V13" t="n">
        <v>-0.02200748555853293</v>
      </c>
      <c r="W13" t="n">
        <v>-0.001818530053198978</v>
      </c>
      <c r="X13" t="n">
        <v>0.007451700435841904</v>
      </c>
      <c r="Y13" t="n">
        <v>0.03215053102014701</v>
      </c>
      <c r="Z13" t="n">
        <v>0.005085753514108339</v>
      </c>
      <c r="AA13" t="n">
        <v>-0.005611105759010439</v>
      </c>
      <c r="AB13" t="n">
        <v>-0.02232842805626154</v>
      </c>
    </row>
    <row r="14">
      <c r="A14" t="inlineStr">
        <is>
          <t>2017-03-31</t>
        </is>
      </c>
      <c r="B14" t="inlineStr">
        <is>
          <t>2017-05-15</t>
        </is>
      </c>
      <c r="C14" t="inlineStr">
        <is>
          <t>2017-08-14</t>
        </is>
      </c>
      <c r="D14" t="n">
        <v>0.9965776865160849</v>
      </c>
      <c r="E14" t="n">
        <v>22</v>
      </c>
      <c r="F14" t="n">
        <v>0.9895266427259751</v>
      </c>
      <c r="G14" t="n">
        <v>0.02766369421826771</v>
      </c>
      <c r="H14" t="n">
        <v>0.02900475486848407</v>
      </c>
      <c r="I14" t="n">
        <v>-0.0009902195605960692</v>
      </c>
      <c r="J14" t="n">
        <v>0.001122193181256605</v>
      </c>
      <c r="K14" t="n">
        <v>-0.00121729983636598</v>
      </c>
      <c r="L14" t="n">
        <v>-0.0002557344345109173</v>
      </c>
      <c r="M14" t="n">
        <v>0.02775869316819308</v>
      </c>
      <c r="N14" t="n">
        <v>0.02910435910910387</v>
      </c>
      <c r="O14" t="n">
        <v>-0.000993620039856358</v>
      </c>
      <c r="P14" t="n">
        <v>0.0011260468666318</v>
      </c>
      <c r="Q14" t="n">
        <v>-0.001221480124265589</v>
      </c>
      <c r="R14" t="n">
        <v>0.04393729468621074</v>
      </c>
      <c r="S14" t="n">
        <v>0.02934391132308747</v>
      </c>
      <c r="T14" t="n">
        <v>0.001400029146953489</v>
      </c>
      <c r="U14" t="n">
        <v>0.002643011135764284</v>
      </c>
      <c r="V14" t="n">
        <v>0.01027518038745205</v>
      </c>
      <c r="W14" t="n">
        <v>0.000275162692953447</v>
      </c>
      <c r="X14" t="n">
        <v>0.04408817825312767</v>
      </c>
      <c r="Y14" t="n">
        <v>0.02944468024933434</v>
      </c>
      <c r="Z14" t="n">
        <v>0.001404836939353741</v>
      </c>
      <c r="AA14" t="n">
        <v>0.002652087410268969</v>
      </c>
      <c r="AB14" t="n">
        <v>0.01031046603438698</v>
      </c>
    </row>
    <row r="15">
      <c r="A15" t="inlineStr">
        <is>
          <t>2017-06-30</t>
        </is>
      </c>
      <c r="B15" t="inlineStr">
        <is>
          <t>2017-08-14</t>
        </is>
      </c>
      <c r="C15" t="inlineStr">
        <is>
          <t>2017-11-14</t>
        </is>
      </c>
      <c r="D15" t="n">
        <v>1.007529089664613</v>
      </c>
      <c r="E15" t="n">
        <v>22</v>
      </c>
      <c r="F15" t="n">
        <v>0.9886191118132642</v>
      </c>
      <c r="G15" t="n">
        <v>0.04070664407734795</v>
      </c>
      <c r="H15" t="n">
        <v>0.04204858182193903</v>
      </c>
      <c r="I15" t="n">
        <v>0.002151039061059021</v>
      </c>
      <c r="J15" t="n">
        <v>-0.001229921404714378</v>
      </c>
      <c r="K15" t="n">
        <v>-0.001831954193382856</v>
      </c>
      <c r="L15" t="n">
        <v>-0.0004311012075528739</v>
      </c>
      <c r="M15" t="n">
        <v>0.04040245040557429</v>
      </c>
      <c r="N15" t="n">
        <v>0.04173436008278052</v>
      </c>
      <c r="O15" t="n">
        <v>0.002134964720249477</v>
      </c>
      <c r="P15" t="n">
        <v>-0.001220730415956323</v>
      </c>
      <c r="Q15" t="n">
        <v>-0.001818264318296435</v>
      </c>
      <c r="R15" t="n">
        <v>0.06041496836334543</v>
      </c>
      <c r="S15" t="n">
        <v>0.04812359382591129</v>
      </c>
      <c r="T15" t="n">
        <v>-0.002610560046021853</v>
      </c>
      <c r="U15" t="n">
        <v>-0.002475743526059898</v>
      </c>
      <c r="V15" t="n">
        <v>0.01743678412785315</v>
      </c>
      <c r="W15" t="n">
        <v>-5.910601833725854e-05</v>
      </c>
      <c r="X15" t="n">
        <v>0.05996349781171718</v>
      </c>
      <c r="Y15" t="n">
        <v>0.04776397457857093</v>
      </c>
      <c r="Z15" t="n">
        <v>-0.002591051784808375</v>
      </c>
      <c r="AA15" t="n">
        <v>-0.002457242725253744</v>
      </c>
      <c r="AB15" t="n">
        <v>0.01730648207254989</v>
      </c>
    </row>
    <row r="16">
      <c r="A16" t="inlineStr">
        <is>
          <t>2017-09-30</t>
        </is>
      </c>
      <c r="B16" t="inlineStr">
        <is>
          <t>2017-11-14</t>
        </is>
      </c>
      <c r="C16" t="inlineStr">
        <is>
          <t>2018-02-14</t>
        </is>
      </c>
      <c r="D16" t="n">
        <v>1.007529089664613</v>
      </c>
      <c r="E16" t="n">
        <v>22</v>
      </c>
      <c r="F16" t="n">
        <v>0.9879832419242425</v>
      </c>
      <c r="G16" t="n">
        <v>0.07549016385710929</v>
      </c>
      <c r="H16" t="n">
        <v>0.06549436191304646</v>
      </c>
      <c r="I16" t="n">
        <v>0.002820542159821715</v>
      </c>
      <c r="J16" t="n">
        <v>0.004533847672166367</v>
      </c>
      <c r="K16" t="n">
        <v>0.002197859168949557</v>
      </c>
      <c r="L16" t="n">
        <v>0.000443552943125175</v>
      </c>
      <c r="M16" t="n">
        <v>0.07492603899132927</v>
      </c>
      <c r="N16" t="n">
        <v>0.06500493393679407</v>
      </c>
      <c r="O16" t="n">
        <v>0.002799464738790439</v>
      </c>
      <c r="P16" t="n">
        <v>0.004499967017007515</v>
      </c>
      <c r="Q16" t="n">
        <v>0.002181434949616375</v>
      </c>
      <c r="R16" t="n">
        <v>0.009327398668742878</v>
      </c>
      <c r="S16" t="n">
        <v>0.05102167783084402</v>
      </c>
      <c r="T16" t="n">
        <v>-0.002383554023931085</v>
      </c>
      <c r="U16" t="n">
        <v>-0.0004465740262639612</v>
      </c>
      <c r="V16" t="n">
        <v>-0.03800838608262377</v>
      </c>
      <c r="W16" t="n">
        <v>-0.0008557650292823245</v>
      </c>
      <c r="X16" t="n">
        <v>0.009257696640647654</v>
      </c>
      <c r="Y16" t="n">
        <v>0.0506404017057494</v>
      </c>
      <c r="Z16" t="n">
        <v>-0.002365742139241383</v>
      </c>
      <c r="AA16" t="n">
        <v>-0.0004432368562307387</v>
      </c>
      <c r="AB16" t="n">
        <v>-0.03772435602358243</v>
      </c>
    </row>
    <row r="17">
      <c r="A17" t="inlineStr">
        <is>
          <t>2017-12-31</t>
        </is>
      </c>
      <c r="B17" t="inlineStr">
        <is>
          <t>2018-02-14</t>
        </is>
      </c>
      <c r="C17" t="inlineStr">
        <is>
          <t>2018-05-15</t>
        </is>
      </c>
      <c r="D17" t="n">
        <v>0.9856262833675564</v>
      </c>
      <c r="E17" t="n">
        <v>23</v>
      </c>
      <c r="F17" t="n">
        <v>0.9877246744795467</v>
      </c>
      <c r="G17" t="n">
        <v>-0.02743987833285921</v>
      </c>
      <c r="H17" t="n">
        <v>-0.008863101083380759</v>
      </c>
      <c r="I17" t="n">
        <v>0.006787041284174915</v>
      </c>
      <c r="J17" t="n">
        <v>-0.01076020062357798</v>
      </c>
      <c r="K17" t="n">
        <v>-0.01542144700772164</v>
      </c>
      <c r="L17" t="n">
        <v>0.0008178290976462478</v>
      </c>
      <c r="M17" t="n">
        <v>-0.02784004322521341</v>
      </c>
      <c r="N17" t="n">
        <v>-0.008992354640846729</v>
      </c>
      <c r="O17" t="n">
        <v>0.006886018969569133</v>
      </c>
      <c r="P17" t="n">
        <v>-0.01091712021600516</v>
      </c>
      <c r="Q17" t="n">
        <v>-0.01564634310991758</v>
      </c>
      <c r="R17" t="n">
        <v>0.02680748143320051</v>
      </c>
      <c r="S17" t="n">
        <v>0.008501315784005349</v>
      </c>
      <c r="T17" t="n">
        <v>-0.005666279061543251</v>
      </c>
      <c r="U17" t="n">
        <v>-0.001035004138234533</v>
      </c>
      <c r="V17" t="n">
        <v>0.02424823298406849</v>
      </c>
      <c r="W17" t="n">
        <v>0.0007592158649044577</v>
      </c>
      <c r="X17" t="n">
        <v>0.02719842387076802</v>
      </c>
      <c r="Y17" t="n">
        <v>0.008625293305855427</v>
      </c>
      <c r="Z17" t="n">
        <v>-0.005748912297857424</v>
      </c>
      <c r="AA17" t="n">
        <v>-0.001050097948583786</v>
      </c>
      <c r="AB17" t="n">
        <v>0.02460185304841949</v>
      </c>
    </row>
    <row r="18">
      <c r="A18" t="inlineStr">
        <is>
          <t>2018-03-31</t>
        </is>
      </c>
      <c r="B18" t="inlineStr">
        <is>
          <t>2018-05-15</t>
        </is>
      </c>
      <c r="C18" t="inlineStr">
        <is>
          <t>2018-08-14</t>
        </is>
      </c>
      <c r="D18" t="n">
        <v>0.9965776865160849</v>
      </c>
      <c r="E18" t="n">
        <v>23</v>
      </c>
      <c r="F18" t="n">
        <v>0.9896150666322914</v>
      </c>
      <c r="G18" t="n">
        <v>0.05892185126655428</v>
      </c>
      <c r="H18" t="n">
        <v>0.0351295536413811</v>
      </c>
      <c r="I18" t="n">
        <v>-0.006681742694896638</v>
      </c>
      <c r="J18" t="n">
        <v>0.002072751397012013</v>
      </c>
      <c r="K18" t="n">
        <v>0.02738000336113736</v>
      </c>
      <c r="L18" t="n">
        <v>0.001021285561920438</v>
      </c>
      <c r="M18" t="n">
        <v>0.05912419278876085</v>
      </c>
      <c r="N18" t="n">
        <v>0.03525019084481991</v>
      </c>
      <c r="O18" t="n">
        <v>-0.006704688239865376</v>
      </c>
      <c r="P18" t="n">
        <v>0.00207986936197428</v>
      </c>
      <c r="Q18" t="n">
        <v>0.02747402809795445</v>
      </c>
      <c r="R18" t="n">
        <v>0.09077287733994956</v>
      </c>
      <c r="S18" t="n">
        <v>0.04986740594995892</v>
      </c>
      <c r="T18" t="n">
        <v>-0.0003283739602350444</v>
      </c>
      <c r="U18" t="n">
        <v>0.005480554912212006</v>
      </c>
      <c r="V18" t="n">
        <v>0.03329298921310318</v>
      </c>
      <c r="W18" t="n">
        <v>0.002460301224910491</v>
      </c>
      <c r="X18" t="n">
        <v>0.09108459738575982</v>
      </c>
      <c r="Y18" t="n">
        <v>0.05003865390995191</v>
      </c>
      <c r="Z18" t="n">
        <v>-0.0003295016180655219</v>
      </c>
      <c r="AA18" t="n">
        <v>0.005499375499135811</v>
      </c>
      <c r="AB18" t="n">
        <v>0.03340731953320313</v>
      </c>
    </row>
    <row r="19">
      <c r="A19" t="inlineStr">
        <is>
          <t>2018-06-30</t>
        </is>
      </c>
      <c r="B19" t="inlineStr">
        <is>
          <t>2018-08-14</t>
        </is>
      </c>
      <c r="C19" t="inlineStr">
        <is>
          <t>2018-11-14</t>
        </is>
      </c>
      <c r="D19" t="n">
        <v>1.007529089664613</v>
      </c>
      <c r="E19" t="n">
        <v>22</v>
      </c>
      <c r="F19" t="n">
        <v>0.9901988999721304</v>
      </c>
      <c r="G19" t="n">
        <v>0.1395210477566935</v>
      </c>
      <c r="H19" t="n">
        <v>0.07374308078091357</v>
      </c>
      <c r="I19" t="n">
        <v>-0.006778770331684773</v>
      </c>
      <c r="J19" t="n">
        <v>0.005787284264291985</v>
      </c>
      <c r="K19" t="n">
        <v>0.06191161196797433</v>
      </c>
      <c r="L19" t="n">
        <v>0.004857841075198349</v>
      </c>
      <c r="M19" t="n">
        <v>0.1384784312313378</v>
      </c>
      <c r="N19" t="n">
        <v>0.07319201156312143</v>
      </c>
      <c r="O19" t="n">
        <v>-0.006728113759912673</v>
      </c>
      <c r="P19" t="n">
        <v>0.005744036895469151</v>
      </c>
      <c r="Q19" t="n">
        <v>0.06144895725897453</v>
      </c>
      <c r="R19" t="n">
        <v>-0.03647657664671434</v>
      </c>
      <c r="S19" t="n">
        <v>-0.04187675285168824</v>
      </c>
      <c r="T19" t="n">
        <v>-0.008292080078959173</v>
      </c>
      <c r="U19" t="n">
        <v>-0.002418974293529502</v>
      </c>
      <c r="V19" t="n">
        <v>0.01696547789102143</v>
      </c>
      <c r="W19" t="n">
        <v>-0.0008542473135588549</v>
      </c>
      <c r="X19" t="n">
        <v>-0.03620399353318591</v>
      </c>
      <c r="Y19" t="n">
        <v>-0.04156381516054111</v>
      </c>
      <c r="Z19" t="n">
        <v>-0.008230114806629996</v>
      </c>
      <c r="AA19" t="n">
        <v>-0.002400897719325138</v>
      </c>
      <c r="AB19" t="n">
        <v>0.01683869782525972</v>
      </c>
    </row>
    <row r="20">
      <c r="A20" t="inlineStr">
        <is>
          <t>2018-09-30</t>
        </is>
      </c>
      <c r="B20" t="inlineStr">
        <is>
          <t>2018-11-14</t>
        </is>
      </c>
      <c r="C20" t="inlineStr">
        <is>
          <t>2019-02-14</t>
        </is>
      </c>
      <c r="D20" t="n">
        <v>1.007529089664613</v>
      </c>
      <c r="E20" t="n">
        <v>23</v>
      </c>
      <c r="F20" t="n">
        <v>0.9913153616789698</v>
      </c>
      <c r="G20" t="n">
        <v>-0.1936723977864046</v>
      </c>
      <c r="H20" t="n">
        <v>-0.1439532921298573</v>
      </c>
      <c r="I20" t="n">
        <v>0.004769190594125787</v>
      </c>
      <c r="J20" t="n">
        <v>-0.006081249898265827</v>
      </c>
      <c r="K20" t="n">
        <v>-0.05893532487749995</v>
      </c>
      <c r="L20" t="n">
        <v>0.01052827852509269</v>
      </c>
      <c r="M20" t="n">
        <v>-0.1866896448349335</v>
      </c>
      <c r="N20" t="n">
        <v>-0.1350794732998053</v>
      </c>
      <c r="O20" t="n">
        <v>0.003848795542890096</v>
      </c>
      <c r="P20" t="n">
        <v>-0.006454262485579877</v>
      </c>
      <c r="Q20" t="n">
        <v>-0.05921656738332827</v>
      </c>
      <c r="R20" t="n">
        <v>-0.04080307882161922</v>
      </c>
      <c r="S20" t="n">
        <v>0.02448649702646294</v>
      </c>
      <c r="T20" t="n">
        <v>0.002979710562629454</v>
      </c>
      <c r="U20" t="n">
        <v>-0.02511822815218889</v>
      </c>
      <c r="V20" t="n">
        <v>-0.03941795761764721</v>
      </c>
      <c r="W20" t="n">
        <v>-0.003733100640875522</v>
      </c>
      <c r="X20" t="n">
        <v>-0.04049816450977289</v>
      </c>
      <c r="Y20" t="n">
        <v>0.02430351369270541</v>
      </c>
      <c r="Z20" t="n">
        <v>0.002957443703805457</v>
      </c>
      <c r="AA20" t="n">
        <v>-0.02493052400159509</v>
      </c>
      <c r="AB20" t="n">
        <v>-0.03912339407566751</v>
      </c>
    </row>
    <row r="21">
      <c r="A21" t="inlineStr">
        <is>
          <t>2018-12-31</t>
        </is>
      </c>
      <c r="B21" t="inlineStr">
        <is>
          <t>2019-02-14</t>
        </is>
      </c>
      <c r="C21" t="inlineStr">
        <is>
          <t>2019-05-15</t>
        </is>
      </c>
      <c r="D21" t="n">
        <v>0.9856262833675564</v>
      </c>
      <c r="E21" t="n">
        <v>22</v>
      </c>
      <c r="F21" t="n">
        <v>0.982427176656972</v>
      </c>
      <c r="G21" t="n">
        <v>0.1514604972223162</v>
      </c>
      <c r="H21" t="n">
        <v>0.1407283975584463</v>
      </c>
      <c r="I21" t="n">
        <v>0.01100748789716271</v>
      </c>
      <c r="J21" t="n">
        <v>-0.01333474790558995</v>
      </c>
      <c r="K21" t="n">
        <v>0.01155050326832734</v>
      </c>
      <c r="L21" t="n">
        <v>0.001508856403969722</v>
      </c>
      <c r="M21" t="n">
        <v>0.1536692961401416</v>
      </c>
      <c r="N21" t="n">
        <v>0.142780686689507</v>
      </c>
      <c r="O21" t="n">
        <v>0.01116801376232967</v>
      </c>
      <c r="P21" t="n">
        <v>-0.01352921297921314</v>
      </c>
      <c r="Q21" t="n">
        <v>0.01171894810765712</v>
      </c>
      <c r="R21" t="n">
        <v>0.09591310665133634</v>
      </c>
      <c r="S21" t="n">
        <v>0.04538657595030269</v>
      </c>
      <c r="T21" t="n">
        <v>0.02378849613189644</v>
      </c>
      <c r="U21" t="n">
        <v>0.01009463531156818</v>
      </c>
      <c r="V21" t="n">
        <v>0.01345073716527151</v>
      </c>
      <c r="W21" t="n">
        <v>0.003192662092297516</v>
      </c>
      <c r="X21" t="n">
        <v>0.09731183945666834</v>
      </c>
      <c r="Y21" t="n">
        <v>0.04604846351624461</v>
      </c>
      <c r="Z21" t="n">
        <v>0.0241354117004866</v>
      </c>
      <c r="AA21" t="n">
        <v>0.01024184874319522</v>
      </c>
      <c r="AB21" t="n">
        <v>0.01364689374893172</v>
      </c>
    </row>
    <row r="22">
      <c r="A22" t="inlineStr">
        <is>
          <t>2019-03-31</t>
        </is>
      </c>
      <c r="B22" t="inlineStr">
        <is>
          <t>2019-05-15</t>
        </is>
      </c>
      <c r="C22" t="inlineStr">
        <is>
          <t>2019-08-14</t>
        </is>
      </c>
      <c r="D22" t="n">
        <v>0.9965776865160849</v>
      </c>
      <c r="E22" t="n">
        <v>22</v>
      </c>
      <c r="F22" t="n">
        <v>0.9815278329403085</v>
      </c>
      <c r="G22" t="n">
        <v>0.07300679412754915</v>
      </c>
      <c r="H22" t="n">
        <v>0.04600799454499497</v>
      </c>
      <c r="I22" t="n">
        <v>0.007468271205713635</v>
      </c>
      <c r="J22" t="n">
        <v>0.003946590310295505</v>
      </c>
      <c r="K22" t="n">
        <v>0.01669354287997999</v>
      </c>
      <c r="L22" t="n">
        <v>-0.001109604813434945</v>
      </c>
      <c r="M22" t="n">
        <v>0.07325750427221793</v>
      </c>
      <c r="N22" t="n">
        <v>0.04616598903175662</v>
      </c>
      <c r="O22" t="n">
        <v>0.007493917741447541</v>
      </c>
      <c r="P22" t="n">
        <v>0.003960143161635806</v>
      </c>
      <c r="Q22" t="n">
        <v>0.01675086960690299</v>
      </c>
      <c r="R22" t="n">
        <v>0.05488041665059836</v>
      </c>
      <c r="S22" t="n">
        <v>-0.0007905032482864766</v>
      </c>
      <c r="T22" t="n">
        <v>0.01512260261359059</v>
      </c>
      <c r="U22" t="n">
        <v>0.00387599310803352</v>
      </c>
      <c r="V22" t="n">
        <v>0.03572052043016818</v>
      </c>
      <c r="W22" t="n">
        <v>0.0009518037470925417</v>
      </c>
      <c r="X22" t="n">
        <v>0.05506887961986552</v>
      </c>
      <c r="Y22" t="n">
        <v>-0.0007932178885621856</v>
      </c>
      <c r="Z22" t="n">
        <v>0.01517453462806034</v>
      </c>
      <c r="AA22" t="n">
        <v>0.003889303523926493</v>
      </c>
      <c r="AB22" t="n">
        <v>0.03584318705252453</v>
      </c>
    </row>
    <row r="23">
      <c r="A23" t="inlineStr">
        <is>
          <t>2019-06-30</t>
        </is>
      </c>
      <c r="B23" t="inlineStr">
        <is>
          <t>2019-08-14</t>
        </is>
      </c>
      <c r="C23" t="inlineStr">
        <is>
          <t>2019-11-14</t>
        </is>
      </c>
      <c r="D23" t="n">
        <v>1.007529089664613</v>
      </c>
      <c r="E23" t="n">
        <v>22</v>
      </c>
      <c r="F23" t="n">
        <v>0.9820743626196375</v>
      </c>
      <c r="G23" t="n">
        <v>0.06587815896532678</v>
      </c>
      <c r="H23" t="n">
        <v>0.01800092411836653</v>
      </c>
      <c r="I23" t="n">
        <v>0.01458195423610754</v>
      </c>
      <c r="J23" t="n">
        <v>0.002732628709751412</v>
      </c>
      <c r="K23" t="n">
        <v>0.02830202298621898</v>
      </c>
      <c r="L23" t="n">
        <v>0.002260628914882323</v>
      </c>
      <c r="M23" t="n">
        <v>0.06538586294045003</v>
      </c>
      <c r="N23" t="n">
        <v>0.01786640634302547</v>
      </c>
      <c r="O23" t="n">
        <v>0.01447298582809315</v>
      </c>
      <c r="P23" t="n">
        <v>0.002712208250643215</v>
      </c>
      <c r="Q23" t="n">
        <v>0.02809052689053393</v>
      </c>
      <c r="R23" t="n">
        <v>0.1417732367162773</v>
      </c>
      <c r="S23" t="n">
        <v>0.1066535025746098</v>
      </c>
      <c r="T23" t="n">
        <v>0.002392364601256875</v>
      </c>
      <c r="U23" t="n">
        <v>-0.002892515615662042</v>
      </c>
      <c r="V23" t="n">
        <v>0.03056672213997111</v>
      </c>
      <c r="W23" t="n">
        <v>0.005053163016101508</v>
      </c>
      <c r="X23" t="n">
        <v>0.1407137899745116</v>
      </c>
      <c r="Y23" t="n">
        <v>0.105856499498305</v>
      </c>
      <c r="Z23" t="n">
        <v>0.002374486876655092</v>
      </c>
      <c r="AA23" t="n">
        <v>-0.002870900349512393</v>
      </c>
      <c r="AB23" t="n">
        <v>0.03033830234137079</v>
      </c>
    </row>
    <row r="24">
      <c r="A24" t="inlineStr">
        <is>
          <t>2019-09-30</t>
        </is>
      </c>
      <c r="B24" t="inlineStr">
        <is>
          <t>2019-11-14</t>
        </is>
      </c>
      <c r="C24" t="inlineStr">
        <is>
          <t>2020-02-14</t>
        </is>
      </c>
      <c r="D24" t="n">
        <v>1.007529089664613</v>
      </c>
      <c r="E24" t="n">
        <v>24</v>
      </c>
      <c r="F24" t="n">
        <v>0.9944954597167242</v>
      </c>
      <c r="G24" t="n">
        <v>0.165524362683833</v>
      </c>
      <c r="H24" t="n">
        <v>0.1007276462210118</v>
      </c>
      <c r="I24" t="n">
        <v>0.00682927350745409</v>
      </c>
      <c r="J24" t="n">
        <v>0.006127404576635598</v>
      </c>
      <c r="K24" t="n">
        <v>0.04168455056290316</v>
      </c>
      <c r="L24" t="n">
        <v>0.01015548781582831</v>
      </c>
      <c r="M24" t="n">
        <v>0.1691724482707181</v>
      </c>
      <c r="N24" t="n">
        <v>0.1030739223137427</v>
      </c>
      <c r="O24" t="n">
        <v>0.00660523248089939</v>
      </c>
      <c r="P24" t="n">
        <v>0.005824488707445794</v>
      </c>
      <c r="Q24" t="n">
        <v>0.04307832097560539</v>
      </c>
      <c r="R24" t="n">
        <v>0.1752231597323064</v>
      </c>
      <c r="S24" t="n">
        <v>0.1130700888355357</v>
      </c>
      <c r="T24" t="n">
        <v>0.02220902900103404</v>
      </c>
      <c r="U24" t="n">
        <v>0.01939887141501112</v>
      </c>
      <c r="V24" t="n">
        <v>0.01454532078428349</v>
      </c>
      <c r="W24" t="n">
        <v>0.005999849696442044</v>
      </c>
      <c r="X24" t="n">
        <v>0.1739137475332199</v>
      </c>
      <c r="Y24" t="n">
        <v>0.112225135726031</v>
      </c>
      <c r="Z24" t="n">
        <v>0.02204306478974914</v>
      </c>
      <c r="AA24" t="n">
        <v>0.01925390702264351</v>
      </c>
      <c r="AB24" t="n">
        <v>0.01443662613168354</v>
      </c>
    </row>
    <row r="25">
      <c r="A25" t="inlineStr">
        <is>
          <t>2019-12-31</t>
        </is>
      </c>
      <c r="B25" t="inlineStr">
        <is>
          <t>2020-02-14</t>
        </is>
      </c>
      <c r="C25" t="inlineStr">
        <is>
          <t>2020-05-15</t>
        </is>
      </c>
      <c r="D25" t="n">
        <v>0.9965776865160849</v>
      </c>
      <c r="E25" t="n">
        <v>24</v>
      </c>
      <c r="F25" t="n">
        <v>0.9950700632007091</v>
      </c>
      <c r="G25" t="n">
        <v>-0.1932351762999737</v>
      </c>
      <c r="H25" t="n">
        <v>-0.2526824632507784</v>
      </c>
      <c r="I25" t="n">
        <v>0.08517179790999603</v>
      </c>
      <c r="J25" t="n">
        <v>0.02239986807297477</v>
      </c>
      <c r="K25" t="n">
        <v>-0.03470400869494726</v>
      </c>
      <c r="L25" t="n">
        <v>-0.01342037033721891</v>
      </c>
      <c r="M25" t="n">
        <v>-0.1938987586361687</v>
      </c>
      <c r="N25" t="n">
        <v>-0.2535501914899637</v>
      </c>
      <c r="O25" t="n">
        <v>0.08546428347974189</v>
      </c>
      <c r="P25" t="n">
        <v>0.02247679069685174</v>
      </c>
      <c r="Q25" t="n">
        <v>-0.0348231845489821</v>
      </c>
      <c r="R25" t="n">
        <v>-0.1763554512759087</v>
      </c>
      <c r="S25" t="n">
        <v>-0.2084418010980393</v>
      </c>
      <c r="T25" t="n">
        <v>0.05874228426232113</v>
      </c>
      <c r="U25" t="n">
        <v>0.01306845958156627</v>
      </c>
      <c r="V25" t="n">
        <v>-0.03903365324241587</v>
      </c>
      <c r="W25" t="n">
        <v>-0.0006907407793409204</v>
      </c>
      <c r="X25" t="n">
        <v>-0.1769610675234221</v>
      </c>
      <c r="Y25" t="n">
        <v>-0.2091576039864254</v>
      </c>
      <c r="Z25" t="n">
        <v>0.05894400913959558</v>
      </c>
      <c r="AA25" t="n">
        <v>0.01311333753342605</v>
      </c>
      <c r="AB25" t="n">
        <v>-0.03916769738129779</v>
      </c>
    </row>
    <row r="26">
      <c r="A26" t="inlineStr">
        <is>
          <t>2020-03-31</t>
        </is>
      </c>
      <c r="B26" t="inlineStr">
        <is>
          <t>2020-05-15</t>
        </is>
      </c>
      <c r="C26" t="inlineStr">
        <is>
          <t>2020-08-14</t>
        </is>
      </c>
      <c r="D26" t="n">
        <v>0.9965776865160849</v>
      </c>
      <c r="E26" t="n">
        <v>24</v>
      </c>
      <c r="F26" t="n">
        <v>0.9969432514251143</v>
      </c>
      <c r="G26" t="n">
        <v>0.2933415888296917</v>
      </c>
      <c r="H26" t="n">
        <v>0.2221154569377789</v>
      </c>
      <c r="I26" t="n">
        <v>0.02036015645878559</v>
      </c>
      <c r="J26" t="n">
        <v>0.004503629339222348</v>
      </c>
      <c r="K26" t="n">
        <v>0.02829361859967855</v>
      </c>
      <c r="L26" t="n">
        <v>0.01806872749422633</v>
      </c>
      <c r="M26" t="n">
        <v>0.2943489431869365</v>
      </c>
      <c r="N26" t="n">
        <v>0.2228782160618784</v>
      </c>
      <c r="O26" t="n">
        <v>0.02043007457849295</v>
      </c>
      <c r="P26" t="n">
        <v>0.004519095099315831</v>
      </c>
      <c r="Q26" t="n">
        <v>0.02839078075146316</v>
      </c>
      <c r="R26" t="n">
        <v>0.3550291102913694</v>
      </c>
      <c r="S26" t="n">
        <v>0.2009021635875106</v>
      </c>
      <c r="T26" t="n">
        <v>0.009043452161056573</v>
      </c>
      <c r="U26" t="n">
        <v>0.00920944875955639</v>
      </c>
      <c r="V26" t="n">
        <v>0.1099572576909878</v>
      </c>
      <c r="W26" t="n">
        <v>0.02591678809225806</v>
      </c>
      <c r="X26" t="n">
        <v>0.3562483036646227</v>
      </c>
      <c r="Y26" t="n">
        <v>0.2015920748635666</v>
      </c>
      <c r="Z26" t="n">
        <v>0.009074507972049213</v>
      </c>
      <c r="AA26" t="n">
        <v>0.009241074613813108</v>
      </c>
      <c r="AB26" t="n">
        <v>0.1103348581638277</v>
      </c>
    </row>
    <row r="27">
      <c r="A27" t="inlineStr">
        <is>
          <t>2020-06-30</t>
        </is>
      </c>
      <c r="B27" t="inlineStr">
        <is>
          <t>2020-08-14</t>
        </is>
      </c>
      <c r="C27" t="inlineStr">
        <is>
          <t>2021-02-16</t>
        </is>
      </c>
      <c r="D27" t="n">
        <v>2.036960985626283</v>
      </c>
      <c r="E27" t="n">
        <v>22</v>
      </c>
      <c r="F27" t="n">
        <v>0.9921335149688896</v>
      </c>
      <c r="G27" t="n">
        <v>0.2034490670259923</v>
      </c>
      <c r="H27" t="n">
        <v>0.1010328886379373</v>
      </c>
      <c r="I27" t="n">
        <v>0.005782307525007239</v>
      </c>
      <c r="J27" t="n">
        <v>0.01465834343915556</v>
      </c>
      <c r="K27" t="n">
        <v>0.05448452770721528</v>
      </c>
      <c r="L27" t="n">
        <v>0.02749099971667687</v>
      </c>
      <c r="M27" t="n">
        <v>0.1852468415978717</v>
      </c>
      <c r="N27" t="n">
        <v>0.1234130007898456</v>
      </c>
      <c r="O27" t="n">
        <v>-0.003842379709489051</v>
      </c>
      <c r="P27" t="n">
        <v>-0.005875509310101826</v>
      </c>
      <c r="Q27" t="n">
        <v>0.05460151743270243</v>
      </c>
      <c r="R27" t="n">
        <v>0.1613851870542587</v>
      </c>
      <c r="S27" t="n">
        <v>0.2002025845237615</v>
      </c>
      <c r="T27" t="n">
        <v>0.006166035501127958</v>
      </c>
      <c r="U27" t="n">
        <v>-0.0323575812155826</v>
      </c>
      <c r="V27" t="n">
        <v>-0.02096057105521493</v>
      </c>
      <c r="W27" t="n">
        <v>0.008334719300166799</v>
      </c>
      <c r="X27" t="n">
        <v>0.07922841340264518</v>
      </c>
      <c r="Y27" t="n">
        <v>0.09828493816841921</v>
      </c>
      <c r="Z27" t="n">
        <v>0.003027075896219068</v>
      </c>
      <c r="AA27" t="n">
        <v>-0.01588522384273057</v>
      </c>
      <c r="AB27" t="n">
        <v>-0.01029011905634039</v>
      </c>
    </row>
    <row r="28">
      <c r="A28" t="inlineStr">
        <is>
          <t>2020-12-31</t>
        </is>
      </c>
      <c r="B28" t="inlineStr">
        <is>
          <t>2021-02-16</t>
        </is>
      </c>
      <c r="C28" t="inlineStr">
        <is>
          <t>2021-05-17</t>
        </is>
      </c>
      <c r="D28" t="n">
        <v>0.9856262833675564</v>
      </c>
      <c r="E28" t="n">
        <v>23</v>
      </c>
      <c r="F28" t="n">
        <v>0.9930166100418796</v>
      </c>
      <c r="G28" t="n">
        <v>-0.02875333535780169</v>
      </c>
      <c r="H28" t="n">
        <v>0.07166157813071533</v>
      </c>
      <c r="I28" t="n">
        <v>-0.03933906524022483</v>
      </c>
      <c r="J28" t="n">
        <v>-0.008451853071368561</v>
      </c>
      <c r="K28" t="n">
        <v>-0.050220639062795</v>
      </c>
      <c r="L28" t="n">
        <v>-0.002403356114128636</v>
      </c>
      <c r="M28" t="n">
        <v>-0.02917265483176963</v>
      </c>
      <c r="N28" t="n">
        <v>0.07270664281178826</v>
      </c>
      <c r="O28" t="n">
        <v>-0.03991275994164478</v>
      </c>
      <c r="P28" t="n">
        <v>-0.008575109261992685</v>
      </c>
      <c r="Q28" t="n">
        <v>-0.05095302338246076</v>
      </c>
      <c r="R28" t="n">
        <v>0.01712079779353655</v>
      </c>
      <c r="S28" t="n">
        <v>0.07278991056184309</v>
      </c>
      <c r="T28" t="n">
        <v>-0.06730030896980917</v>
      </c>
      <c r="U28" t="n">
        <v>0.01719050616043981</v>
      </c>
      <c r="V28" t="n">
        <v>0.0007949129320898143</v>
      </c>
      <c r="W28" t="n">
        <v>-0.006354222891026988</v>
      </c>
      <c r="X28" t="n">
        <v>0.01737047609469229</v>
      </c>
      <c r="Y28" t="n">
        <v>0.07385143009086997</v>
      </c>
      <c r="Z28" t="n">
        <v>-0.06828177180895222</v>
      </c>
      <c r="AA28" t="n">
        <v>0.01744120104194622</v>
      </c>
      <c r="AB28" t="n">
        <v>0.0008065054123494575</v>
      </c>
    </row>
    <row r="29">
      <c r="A29" t="inlineStr">
        <is>
          <t>2021-03-31</t>
        </is>
      </c>
      <c r="B29" t="inlineStr">
        <is>
          <t>2021-05-17</t>
        </is>
      </c>
      <c r="C29" t="inlineStr">
        <is>
          <t>2021-11-15</t>
        </is>
      </c>
      <c r="D29" t="n">
        <v>1.99315537303217</v>
      </c>
      <c r="E29" t="n">
        <v>23</v>
      </c>
      <c r="F29" t="n">
        <v>0.992058508855501</v>
      </c>
      <c r="G29" t="n">
        <v>0.1164604124702526</v>
      </c>
      <c r="H29" t="n">
        <v>0.09992688032235215</v>
      </c>
      <c r="I29" t="n">
        <v>0.003827925039031622</v>
      </c>
      <c r="J29" t="n">
        <v>0.01112179576784273</v>
      </c>
      <c r="K29" t="n">
        <v>-0.0001008745208491595</v>
      </c>
      <c r="L29" t="n">
        <v>0.001684685861875229</v>
      </c>
      <c r="M29" t="n">
        <v>0.06538973364177705</v>
      </c>
      <c r="N29" t="n">
        <v>0.05389490061599428</v>
      </c>
      <c r="O29" t="n">
        <v>0.003249951343586511</v>
      </c>
      <c r="P29" t="n">
        <v>0.008037322222788679</v>
      </c>
      <c r="Q29" t="n">
        <v>-0.001391586481610095</v>
      </c>
      <c r="R29" t="n">
        <v>0.15013467777602</v>
      </c>
      <c r="S29" t="n">
        <v>0.1575789400887452</v>
      </c>
      <c r="T29" t="n">
        <v>0.03880347274236542</v>
      </c>
      <c r="U29" t="n">
        <v>0.003318790344492023</v>
      </c>
      <c r="V29" t="n">
        <v>-0.04495325944987921</v>
      </c>
      <c r="W29" t="n">
        <v>-0.004613265949703377</v>
      </c>
      <c r="X29" t="n">
        <v>0.07532512507924631</v>
      </c>
      <c r="Y29" t="n">
        <v>0.07906003827941506</v>
      </c>
      <c r="Z29" t="n">
        <v>0.01946836321311671</v>
      </c>
      <c r="AA29" t="n">
        <v>0.001665093644678175</v>
      </c>
      <c r="AB29" t="n">
        <v>-0.02255381595339063</v>
      </c>
    </row>
    <row r="30">
      <c r="A30" t="inlineStr">
        <is>
          <t>2021-09-30</t>
        </is>
      </c>
      <c r="B30" t="inlineStr">
        <is>
          <t>2021-11-15</t>
        </is>
      </c>
      <c r="C30" t="inlineStr">
        <is>
          <t>2022-02-14</t>
        </is>
      </c>
      <c r="D30" t="n">
        <v>0.9965776865160849</v>
      </c>
      <c r="E30" t="n">
        <v>23</v>
      </c>
      <c r="F30" t="n">
        <v>0.9941248691563769</v>
      </c>
      <c r="G30" t="n">
        <v>0.1810303478460255</v>
      </c>
      <c r="H30" t="n">
        <v>0.1350789156992863</v>
      </c>
      <c r="I30" t="n">
        <v>0.01553004581539785</v>
      </c>
      <c r="J30" t="n">
        <v>0.002708354013785013</v>
      </c>
      <c r="K30" t="n">
        <v>0.01928314742049378</v>
      </c>
      <c r="L30" t="n">
        <v>0.008429884897062478</v>
      </c>
      <c r="M30" t="n">
        <v>0.179088536648054</v>
      </c>
      <c r="N30" t="n">
        <v>0.1320899966012354</v>
      </c>
      <c r="O30" t="n">
        <v>0.0155193008960895</v>
      </c>
      <c r="P30" t="n">
        <v>0.002033825550998106</v>
      </c>
      <c r="Q30" t="n">
        <v>0.0211051423315685</v>
      </c>
      <c r="R30" t="n">
        <v>0.07854203585621808</v>
      </c>
      <c r="S30" t="n">
        <v>-0.06734441704775067</v>
      </c>
      <c r="T30" t="n">
        <v>0.01625138216266444</v>
      </c>
      <c r="U30" t="n">
        <v>0.01255100903052417</v>
      </c>
      <c r="V30" t="n">
        <v>0.1242108014352493</v>
      </c>
      <c r="W30" t="n">
        <v>-0.007126739724469117</v>
      </c>
      <c r="X30" t="n">
        <v>0.07881175438594409</v>
      </c>
      <c r="Y30" t="n">
        <v>-0.06757568221618387</v>
      </c>
      <c r="Z30" t="n">
        <v>0.01630719048053073</v>
      </c>
      <c r="AA30" t="n">
        <v>0.01259411002307404</v>
      </c>
      <c r="AB30" t="n">
        <v>0.1246373495171011</v>
      </c>
    </row>
    <row r="31">
      <c r="A31" t="inlineStr">
        <is>
          <t>2021-12-31</t>
        </is>
      </c>
      <c r="B31" t="inlineStr">
        <is>
          <t>2022-02-14</t>
        </is>
      </c>
      <c r="C31" t="inlineStr">
        <is>
          <t>2022-05-16</t>
        </is>
      </c>
      <c r="D31" t="n">
        <v>0.9965776865160849</v>
      </c>
      <c r="E31" t="n">
        <v>22</v>
      </c>
      <c r="F31" t="n">
        <v>0.991990716421336</v>
      </c>
      <c r="G31" t="n">
        <v>0.0004993552619351414</v>
      </c>
      <c r="H31" t="n">
        <v>-0.05992097287491199</v>
      </c>
      <c r="I31" t="n">
        <v>-0.01362737910188665</v>
      </c>
      <c r="J31" t="n">
        <v>0.01457393980569889</v>
      </c>
      <c r="K31" t="n">
        <v>0.06398112162479919</v>
      </c>
      <c r="L31" t="n">
        <v>-0.004507354191764296</v>
      </c>
      <c r="M31" t="n">
        <v>0.0005010700808291494</v>
      </c>
      <c r="N31" t="n">
        <v>-0.06012674544659782</v>
      </c>
      <c r="O31" t="n">
        <v>-0.01367417642023104</v>
      </c>
      <c r="P31" t="n">
        <v>0.01462398767591076</v>
      </c>
      <c r="Q31" t="n">
        <v>0.06420083701499424</v>
      </c>
      <c r="R31" t="n">
        <v>-0.1174784290593972</v>
      </c>
      <c r="S31" t="n">
        <v>-0.09555206315166696</v>
      </c>
      <c r="T31" t="n">
        <v>-0.01553807756346515</v>
      </c>
      <c r="U31" t="n">
        <v>-0.007446029212687601</v>
      </c>
      <c r="V31" t="n">
        <v>-0.002802771504500647</v>
      </c>
      <c r="W31" t="n">
        <v>0.003860512372923106</v>
      </c>
      <c r="X31" t="n">
        <v>-0.1178818577306177</v>
      </c>
      <c r="Y31" t="n">
        <v>-0.09588019523666581</v>
      </c>
      <c r="Z31" t="n">
        <v>-0.01559143634630671</v>
      </c>
      <c r="AA31" t="n">
        <v>-0.007471599367950951</v>
      </c>
      <c r="AB31" t="n">
        <v>-0.002812396406645223</v>
      </c>
    </row>
    <row r="32">
      <c r="A32" t="inlineStr">
        <is>
          <t>2022-03-31</t>
        </is>
      </c>
      <c r="B32" t="inlineStr">
        <is>
          <t>2022-05-16</t>
        </is>
      </c>
      <c r="C32" t="inlineStr">
        <is>
          <t>2022-08-15</t>
        </is>
      </c>
      <c r="D32" t="n">
        <v>0.9965776865160849</v>
      </c>
      <c r="E32" t="n">
        <v>22</v>
      </c>
      <c r="F32" t="n">
        <v>0.9767189568542947</v>
      </c>
      <c r="G32" t="n">
        <v>-0.1928538689830369</v>
      </c>
      <c r="H32" t="n">
        <v>-0.1753481282281508</v>
      </c>
      <c r="I32" t="n">
        <v>0.006414032941961867</v>
      </c>
      <c r="J32" t="n">
        <v>-0.00475384647059552</v>
      </c>
      <c r="K32" t="n">
        <v>-0.02273905771871962</v>
      </c>
      <c r="L32" t="n">
        <v>0.003573130492467158</v>
      </c>
      <c r="M32" t="n">
        <v>-0.1935161418847644</v>
      </c>
      <c r="N32" t="n">
        <v>-0.1759502852619013</v>
      </c>
      <c r="O32" t="n">
        <v>0.006436059153987835</v>
      </c>
      <c r="P32" t="n">
        <v>-0.004770171492815971</v>
      </c>
      <c r="Q32" t="n">
        <v>-0.02281714514220423</v>
      </c>
      <c r="R32" t="n">
        <v>0.1436927387521081</v>
      </c>
      <c r="S32" t="n">
        <v>0.08669245617789985</v>
      </c>
      <c r="T32" t="n">
        <v>0.01234550439814439</v>
      </c>
      <c r="U32" t="n">
        <v>-0.005515583105289846</v>
      </c>
      <c r="V32" t="n">
        <v>0.04484976166900052</v>
      </c>
      <c r="W32" t="n">
        <v>0.00532059961235315</v>
      </c>
      <c r="X32" t="n">
        <v>0.1441861890912293</v>
      </c>
      <c r="Y32" t="n">
        <v>0.08699016378840088</v>
      </c>
      <c r="Z32" t="n">
        <v>0.01238789967423692</v>
      </c>
      <c r="AA32" t="n">
        <v>-0.005534523981338231</v>
      </c>
      <c r="AB32" t="n">
        <v>0.045003778707699</v>
      </c>
    </row>
    <row r="33">
      <c r="A33" t="inlineStr">
        <is>
          <t>2022-06-30</t>
        </is>
      </c>
      <c r="B33" t="inlineStr">
        <is>
          <t>2022-08-15</t>
        </is>
      </c>
      <c r="C33" t="inlineStr">
        <is>
          <t>2022-11-14</t>
        </is>
      </c>
      <c r="D33" t="n">
        <v>0.9965776865160849</v>
      </c>
      <c r="E33" t="n">
        <v>22</v>
      </c>
      <c r="F33" t="n">
        <v>0.9716658759837594</v>
      </c>
      <c r="G33" t="n">
        <v>-0.01724848686066032</v>
      </c>
      <c r="H33" t="n">
        <v>-0.0542163319462796</v>
      </c>
      <c r="I33" t="n">
        <v>-0.003962796270828232</v>
      </c>
      <c r="J33" t="n">
        <v>-0.01466983573199244</v>
      </c>
      <c r="K33" t="n">
        <v>0.05942802428187401</v>
      </c>
      <c r="L33" t="n">
        <v>-0.003827547193434061</v>
      </c>
      <c r="M33" t="n">
        <v>-0.0173077193018027</v>
      </c>
      <c r="N33" t="n">
        <v>-0.05440251440488633</v>
      </c>
      <c r="O33" t="n">
        <v>-0.003976404774505527</v>
      </c>
      <c r="P33" t="n">
        <v>-0.01472021291513802</v>
      </c>
      <c r="Q33" t="n">
        <v>0.05963210403558924</v>
      </c>
      <c r="R33" t="n">
        <v>-0.1118226866964686</v>
      </c>
      <c r="S33" t="n">
        <v>-0.08387868575245026</v>
      </c>
      <c r="T33" t="n">
        <v>-0.01336278477228477</v>
      </c>
      <c r="U33" t="n">
        <v>-0.01434403015108437</v>
      </c>
      <c r="V33" t="n">
        <v>-0.003983861481000007</v>
      </c>
      <c r="W33" t="n">
        <v>0.00374667546035079</v>
      </c>
      <c r="X33" t="n">
        <v>-0.1122066931755087</v>
      </c>
      <c r="Y33" t="n">
        <v>-0.08416673068978697</v>
      </c>
      <c r="Z33" t="n">
        <v>-0.01340867345625553</v>
      </c>
      <c r="AA33" t="n">
        <v>-0.01439328849638342</v>
      </c>
      <c r="AB33" t="n">
        <v>-0.003997542323997946</v>
      </c>
    </row>
    <row r="34">
      <c r="A34" t="inlineStr">
        <is>
          <t>2022-09-30</t>
        </is>
      </c>
      <c r="B34" t="inlineStr">
        <is>
          <t>2022-11-14</t>
        </is>
      </c>
      <c r="C34" t="inlineStr">
        <is>
          <t>2023-02-14</t>
        </is>
      </c>
      <c r="D34" t="n">
        <v>1.007529089664613</v>
      </c>
      <c r="E34" t="n">
        <v>23</v>
      </c>
      <c r="F34" t="n">
        <v>0.976353030647795</v>
      </c>
      <c r="G34" t="n">
        <v>0.003509096394496556</v>
      </c>
      <c r="H34" t="n">
        <v>0.08116911703609432</v>
      </c>
      <c r="I34" t="n">
        <v>-0.01190666221859779</v>
      </c>
      <c r="J34" t="n">
        <v>-0.007041984170600806</v>
      </c>
      <c r="K34" t="n">
        <v>-0.05407972404867561</v>
      </c>
      <c r="L34" t="n">
        <v>-0.004631650203723553</v>
      </c>
      <c r="M34" t="n">
        <v>0.003482873527418117</v>
      </c>
      <c r="N34" t="n">
        <v>0.08056255434085177</v>
      </c>
      <c r="O34" t="n">
        <v>-0.01181768580256207</v>
      </c>
      <c r="P34" t="n">
        <v>-0.006989360647586806</v>
      </c>
      <c r="Q34" t="n">
        <v>-0.05367559567602927</v>
      </c>
      <c r="R34" t="n">
        <v>0.04813971328435158</v>
      </c>
      <c r="S34" t="n">
        <v>0.05664591915598297</v>
      </c>
      <c r="T34" t="n">
        <v>0.01639724896556289</v>
      </c>
      <c r="U34" t="n">
        <v>0.002344301058972514</v>
      </c>
      <c r="V34" t="n">
        <v>-0.02517248357330849</v>
      </c>
      <c r="W34" t="n">
        <v>-0.002075272322858313</v>
      </c>
      <c r="X34" t="n">
        <v>0.04777997357910167</v>
      </c>
      <c r="Y34" t="n">
        <v>0.05622261405359451</v>
      </c>
      <c r="Z34" t="n">
        <v>0.01627471517573871</v>
      </c>
      <c r="AA34" t="n">
        <v>0.002326782504863344</v>
      </c>
      <c r="AB34" t="n">
        <v>-0.02498437398138838</v>
      </c>
    </row>
    <row r="35">
      <c r="A35" t="inlineStr">
        <is>
          <t>2022-12-31</t>
        </is>
      </c>
      <c r="B35" t="inlineStr">
        <is>
          <t>2023-02-14</t>
        </is>
      </c>
      <c r="C35" t="inlineStr">
        <is>
          <t>2023-05-15</t>
        </is>
      </c>
      <c r="D35" t="n">
        <v>0.9856262833675564</v>
      </c>
      <c r="E35" t="n">
        <v>23</v>
      </c>
      <c r="F35" t="n">
        <v>0.9785019476209627</v>
      </c>
      <c r="G35" t="n">
        <v>0.1901994888211348</v>
      </c>
      <c r="H35" t="n">
        <v>0.08274651679529613</v>
      </c>
      <c r="I35" t="n">
        <v>0.05677272084637051</v>
      </c>
      <c r="J35" t="n">
        <v>0.01497359803527292</v>
      </c>
      <c r="K35" t="n">
        <v>0.02359348343005534</v>
      </c>
      <c r="L35" t="n">
        <v>0.01211316971413992</v>
      </c>
      <c r="M35" t="n">
        <v>0.1929732313664431</v>
      </c>
      <c r="N35" t="n">
        <v>0.08395323683189419</v>
      </c>
      <c r="O35" t="n">
        <v>0.05760065635871341</v>
      </c>
      <c r="P35" t="n">
        <v>0.01519196300662065</v>
      </c>
      <c r="Q35" t="n">
        <v>0.02393755506341032</v>
      </c>
      <c r="R35" t="n">
        <v>0.06887331395179305</v>
      </c>
      <c r="S35" t="n">
        <v>0.003085201661109176</v>
      </c>
      <c r="T35" t="n">
        <v>0.03155949149829753</v>
      </c>
      <c r="U35" t="n">
        <v>0.03665232556925063</v>
      </c>
      <c r="V35" t="n">
        <v>-0.006478468197811157</v>
      </c>
      <c r="W35" t="n">
        <v>0.004054763420946864</v>
      </c>
      <c r="X35" t="n">
        <v>0.06987771644692337</v>
      </c>
      <c r="Y35" t="n">
        <v>0.003130194185333685</v>
      </c>
      <c r="Z35" t="n">
        <v>0.0320197340826477</v>
      </c>
      <c r="AA35" t="n">
        <v>0.03718683865046887</v>
      </c>
      <c r="AB35" t="n">
        <v>-0.006572945859029237</v>
      </c>
    </row>
    <row r="36">
      <c r="A36" t="inlineStr">
        <is>
          <t>2023-03-31</t>
        </is>
      </c>
      <c r="B36" t="inlineStr">
        <is>
          <t>2023-05-15</t>
        </is>
      </c>
      <c r="C36" t="inlineStr">
        <is>
          <t>2023-08-14</t>
        </is>
      </c>
      <c r="D36" t="n">
        <v>0.9965776865160849</v>
      </c>
      <c r="E36" t="n">
        <v>23</v>
      </c>
      <c r="F36" t="n">
        <v>0.9812454808535306</v>
      </c>
      <c r="G36" t="n">
        <v>0.1330681694143691</v>
      </c>
      <c r="H36" t="n">
        <v>0.09899355644246222</v>
      </c>
      <c r="I36" t="n">
        <v>0.01160658090503728</v>
      </c>
      <c r="J36" t="n">
        <v>0.02945673722628199</v>
      </c>
      <c r="K36" t="n">
        <v>-0.0118601155967804</v>
      </c>
      <c r="L36" t="n">
        <v>0.004871410437367968</v>
      </c>
      <c r="M36" t="n">
        <v>0.1335251342818634</v>
      </c>
      <c r="N36" t="n">
        <v>0.0993335068423333</v>
      </c>
      <c r="O36" t="n">
        <v>0.01164643866913425</v>
      </c>
      <c r="P36" t="n">
        <v>0.0295578936041195</v>
      </c>
      <c r="Q36" t="n">
        <v>-0.01190084401572538</v>
      </c>
      <c r="R36" t="n">
        <v>0.04436375189307549</v>
      </c>
      <c r="S36" t="n">
        <v>0.1013970367785345</v>
      </c>
      <c r="T36" t="n">
        <v>-0.001691313350436183</v>
      </c>
      <c r="U36" t="n">
        <v>0.002823808510170281</v>
      </c>
      <c r="V36" t="n">
        <v>-0.05370242836734122</v>
      </c>
      <c r="W36" t="n">
        <v>-0.004463351677851862</v>
      </c>
      <c r="X36" t="n">
        <v>0.04451609994215885</v>
      </c>
      <c r="Y36" t="n">
        <v>0.1017452408883509</v>
      </c>
      <c r="Z36" t="n">
        <v>-0.001697121431996747</v>
      </c>
      <c r="AA36" t="n">
        <v>0.002833505654779382</v>
      </c>
      <c r="AB36" t="n">
        <v>-0.05388684604717411</v>
      </c>
    </row>
    <row r="37">
      <c r="A37" t="inlineStr">
        <is>
          <t>2023-06-30</t>
        </is>
      </c>
      <c r="B37" t="inlineStr">
        <is>
          <t>2023-08-14</t>
        </is>
      </c>
      <c r="C37" t="inlineStr">
        <is>
          <t>2024-05-15</t>
        </is>
      </c>
      <c r="D37" t="n">
        <v>3.011635865845312</v>
      </c>
      <c r="E37" t="n">
        <v>24</v>
      </c>
      <c r="F37" t="n">
        <v>0.9950568274686045</v>
      </c>
      <c r="G37" t="n">
        <v>-0.1075398561212282</v>
      </c>
      <c r="H37" t="n">
        <v>-0.0360764014026299</v>
      </c>
      <c r="I37" t="n">
        <v>-0.0103729919898386</v>
      </c>
      <c r="J37" t="n">
        <v>-0.002836442911547289</v>
      </c>
      <c r="K37" t="n">
        <v>-0.06143422263218091</v>
      </c>
      <c r="L37" t="n">
        <v>0.003180202814968489</v>
      </c>
      <c r="M37" t="n">
        <v>-0.009069870304054883</v>
      </c>
      <c r="N37" t="n">
        <v>0.06332663952746129</v>
      </c>
      <c r="O37" t="n">
        <v>-0.005518988619110703</v>
      </c>
      <c r="P37" t="n">
        <v>0.002819556272923665</v>
      </c>
      <c r="Q37" t="n">
        <v>-0.05850453327212751</v>
      </c>
      <c r="R37" t="n">
        <v>0.1106507821744549</v>
      </c>
      <c r="S37" t="n">
        <v>0.1909870257616742</v>
      </c>
      <c r="T37" t="n">
        <v>0.0005891608134950344</v>
      </c>
      <c r="U37" t="n">
        <v>0.02089169950549384</v>
      </c>
      <c r="V37" t="n">
        <v>-0.08528795798922691</v>
      </c>
      <c r="W37" t="n">
        <v>-0.01652914591698132</v>
      </c>
      <c r="X37" t="n">
        <v>0.03674108926292695</v>
      </c>
      <c r="Y37" t="n">
        <v>0.06341637378131955</v>
      </c>
      <c r="Z37" t="n">
        <v>0.0001956281701173284</v>
      </c>
      <c r="AA37" t="n">
        <v>0.006936993858528751</v>
      </c>
      <c r="AB37" t="n">
        <v>-0.02831947877778648</v>
      </c>
    </row>
    <row r="38">
      <c r="A38" t="inlineStr">
        <is>
          <t>2024-03-31</t>
        </is>
      </c>
      <c r="B38" t="inlineStr">
        <is>
          <t>2024-05-15</t>
        </is>
      </c>
      <c r="C38" t="inlineStr">
        <is>
          <t>2024-08-14</t>
        </is>
      </c>
      <c r="D38" t="n">
        <v>0.9965776865160849</v>
      </c>
      <c r="E38" t="n">
        <v>20</v>
      </c>
      <c r="F38" t="n">
        <v>0.9999999999999998</v>
      </c>
      <c r="G38" t="n">
        <v>0.1473664061592296</v>
      </c>
      <c r="H38" t="n">
        <v>0.03964636818973929</v>
      </c>
      <c r="I38" t="n">
        <v>0.001466374257560101</v>
      </c>
      <c r="J38" t="n">
        <v>0.01406037985183113</v>
      </c>
      <c r="K38" t="n">
        <v>0.08518884756055622</v>
      </c>
      <c r="L38" t="n">
        <v>0.00700443629954281</v>
      </c>
      <c r="M38" t="n">
        <v>0.1478724721144467</v>
      </c>
      <c r="N38" t="n">
        <v>0.03978251643214911</v>
      </c>
      <c r="O38" t="n">
        <v>0.00147140988344458</v>
      </c>
      <c r="P38" t="n">
        <v>0.01410866412330033</v>
      </c>
      <c r="Q38" t="n">
        <v>0.08548139167992626</v>
      </c>
      <c r="R38" t="n">
        <v>0.1230591020596573</v>
      </c>
      <c r="S38" t="n">
        <v>0.02547134454746129</v>
      </c>
      <c r="T38" t="n">
        <v>-0.006839539928169261</v>
      </c>
      <c r="U38" t="n">
        <v>0.003147578670407057</v>
      </c>
      <c r="V38" t="n">
        <v>0.09910519008650005</v>
      </c>
      <c r="W38" t="n">
        <v>0.00217452868345816</v>
      </c>
      <c r="X38" t="n">
        <v>0.1234816951299171</v>
      </c>
      <c r="Y38" t="n">
        <v>0.02555881482406658</v>
      </c>
      <c r="Z38" t="n">
        <v>-0.006863027359241271</v>
      </c>
      <c r="AA38" t="n">
        <v>0.003158387663093894</v>
      </c>
      <c r="AB38" t="n">
        <v>0.09944552384366523</v>
      </c>
    </row>
    <row r="39">
      <c r="A39" t="inlineStr">
        <is>
          <t>2024-06-30</t>
        </is>
      </c>
      <c r="B39" t="inlineStr">
        <is>
          <t>2024-08-14</t>
        </is>
      </c>
      <c r="C39" t="inlineStr">
        <is>
          <t>2024-11-14</t>
        </is>
      </c>
      <c r="D39" t="n">
        <v>1.007529089664613</v>
      </c>
      <c r="E39" t="n">
        <v>20</v>
      </c>
      <c r="F39" t="n">
        <v>0.999510334486558</v>
      </c>
      <c r="G39" t="n">
        <v>0.1259508633340631</v>
      </c>
      <c r="H39" t="n">
        <v>0.04717322377129891</v>
      </c>
      <c r="I39" t="n">
        <v>0.005931336224427962</v>
      </c>
      <c r="J39" t="n">
        <v>-0.000833981657827529</v>
      </c>
      <c r="K39" t="n">
        <v>0.07025289657623229</v>
      </c>
      <c r="L39" t="n">
        <v>0.003427388419931496</v>
      </c>
      <c r="M39" t="n">
        <v>0.1250096544368657</v>
      </c>
      <c r="N39" t="n">
        <v>0.04682070647409491</v>
      </c>
      <c r="O39" t="n">
        <v>0.005887012380359547</v>
      </c>
      <c r="P39" t="n">
        <v>-0.0008277494579388723</v>
      </c>
      <c r="Q39" t="n">
        <v>0.06972790889801317</v>
      </c>
      <c r="R39" t="n">
        <v>0.05855525720479678</v>
      </c>
      <c r="S39" t="n">
        <v>0.07674794964441348</v>
      </c>
      <c r="T39" t="n">
        <v>0.01741674736230531</v>
      </c>
      <c r="U39" t="n">
        <v>0.008928894002318099</v>
      </c>
      <c r="V39" t="n">
        <v>-0.04353344938342317</v>
      </c>
      <c r="W39" t="n">
        <v>-0.001004884420816934</v>
      </c>
      <c r="X39" t="n">
        <v>0.05811768395122833</v>
      </c>
      <c r="Y39" t="n">
        <v>0.07617442556419028</v>
      </c>
      <c r="Z39" t="n">
        <v>0.01728659503826635</v>
      </c>
      <c r="AA39" t="n">
        <v>0.008862169930289907</v>
      </c>
      <c r="AB39" t="n">
        <v>-0.04320813148721553</v>
      </c>
    </row>
    <row r="40">
      <c r="A40" t="inlineStr">
        <is>
          <t>2024-09-30</t>
        </is>
      </c>
      <c r="B40" t="inlineStr">
        <is>
          <t>2024-11-14</t>
        </is>
      </c>
      <c r="C40" t="inlineStr">
        <is>
          <t>2025-02-14</t>
        </is>
      </c>
      <c r="D40" t="n">
        <v>1.007529089664613</v>
      </c>
      <c r="E40" t="n">
        <v>21</v>
      </c>
      <c r="F40" t="n">
        <v>1</v>
      </c>
      <c r="G40" t="n">
        <v>0.04685718381176979</v>
      </c>
      <c r="H40" t="n">
        <v>0.02197424276473478</v>
      </c>
      <c r="I40" t="n">
        <v>0.005723479461778525</v>
      </c>
      <c r="J40" t="n">
        <v>0.01069451530453117</v>
      </c>
      <c r="K40" t="n">
        <v>0.006705919249756435</v>
      </c>
      <c r="L40" t="n">
        <v>0.00175902703096887</v>
      </c>
      <c r="M40" t="n">
        <v>0.04345845627180048</v>
      </c>
      <c r="N40" t="n">
        <v>0.01911382666838793</v>
      </c>
      <c r="O40" t="n">
        <v>0.007314139555423032</v>
      </c>
      <c r="P40" t="n">
        <v>0.01028752673650334</v>
      </c>
      <c r="Q40" t="n">
        <v>0.005253538281325965</v>
      </c>
      <c r="R40" t="n">
        <v>0.08603806002930818</v>
      </c>
      <c r="S40" t="n">
        <v>0.02338204433306117</v>
      </c>
      <c r="T40" t="n">
        <v>0.005844967649446009</v>
      </c>
      <c r="U40" t="n">
        <v>4.060850972225854e-05</v>
      </c>
      <c r="V40" t="n">
        <v>0.0558956236512597</v>
      </c>
      <c r="W40" t="n">
        <v>0.0008748158858190441</v>
      </c>
      <c r="X40" t="n">
        <v>0.08539511256985004</v>
      </c>
      <c r="Y40" t="n">
        <v>0.0232073143822027</v>
      </c>
      <c r="Z40" t="n">
        <v>0.005801289222717812</v>
      </c>
      <c r="AA40" t="n">
        <v>4.030504939145363e-05</v>
      </c>
      <c r="AB40" t="n">
        <v>0.05547792537669187</v>
      </c>
    </row>
    <row r="41">
      <c r="A41" t="inlineStr">
        <is>
          <t>2024-12-31</t>
        </is>
      </c>
      <c r="B41" t="inlineStr">
        <is>
          <t>2025-02-14</t>
        </is>
      </c>
      <c r="C41" t="inlineStr">
        <is>
          <t>2025-08-14</t>
        </is>
      </c>
      <c r="D41" t="n">
        <v>1.982203969883641</v>
      </c>
      <c r="E41" t="n">
        <v>20</v>
      </c>
      <c r="F41" t="n">
        <v>1</v>
      </c>
      <c r="G41" t="n">
        <v>-0.04110864206626253</v>
      </c>
      <c r="H41" t="n">
        <v>-0.03536757738651627</v>
      </c>
      <c r="I41" t="n">
        <v>0.0269157443693949</v>
      </c>
      <c r="J41" t="n">
        <v>-0.0007278367882472169</v>
      </c>
      <c r="K41" t="n">
        <v>-0.03215417517402801</v>
      </c>
      <c r="L41" t="n">
        <v>0.0002252029131340691</v>
      </c>
      <c r="M41" t="n">
        <v>-0.007329962627039588</v>
      </c>
      <c r="N41" t="n">
        <v>0.03930696988172294</v>
      </c>
      <c r="O41" t="n">
        <v>0.004888021917552122</v>
      </c>
      <c r="P41" t="n">
        <v>0.0008881802419624544</v>
      </c>
      <c r="Q41" t="n">
        <v>-0.0446879053859418</v>
      </c>
      <c r="R41" t="n">
        <v>-0.01495351132990296</v>
      </c>
      <c r="S41" t="n">
        <v>0.09157563168846473</v>
      </c>
      <c r="T41" t="n">
        <v>-0.01154082810215465</v>
      </c>
      <c r="U41" t="n">
        <v>0.01066872965323777</v>
      </c>
      <c r="V41" t="n">
        <v>-0.08819194455939441</v>
      </c>
      <c r="W41" t="n">
        <v>-0.0174651000100564</v>
      </c>
      <c r="X41" t="n">
        <v>-0.007543881233766654</v>
      </c>
      <c r="Y41" t="n">
        <v>0.04619889430139744</v>
      </c>
      <c r="Z41" t="n">
        <v>-0.005822220254574566</v>
      </c>
      <c r="AA41" t="n">
        <v>0.005382256223542949</v>
      </c>
      <c r="AB41" t="n">
        <v>-0.04449186153358951</v>
      </c>
    </row>
    <row r="42">
      <c r="A42" t="inlineStr">
        <is>
          <t>2025-06-30</t>
        </is>
      </c>
      <c r="B42" t="inlineStr">
        <is>
          <t>2025-08-14</t>
        </is>
      </c>
      <c r="C42" t="inlineStr">
        <is>
          <t>2025-11-14</t>
        </is>
      </c>
      <c r="D42" t="n">
        <v>1.007529089664613</v>
      </c>
      <c r="E42" t="n">
        <v>23</v>
      </c>
      <c r="F42" t="n">
        <v>0.9999999999999996</v>
      </c>
      <c r="G42" t="n">
        <v>0.0801617957626463</v>
      </c>
      <c r="H42" t="n">
        <v>0.0788391112180538</v>
      </c>
      <c r="I42" t="n">
        <v>-0.02256461240402238</v>
      </c>
      <c r="J42" t="n">
        <v>0.005785921116647961</v>
      </c>
      <c r="K42" t="n">
        <v>0.01658797153722629</v>
      </c>
      <c r="L42" t="n">
        <v>0.001513404294740631</v>
      </c>
      <c r="M42" t="n">
        <v>0.07956276060409392</v>
      </c>
      <c r="N42" t="n">
        <v>0.07824996025107107</v>
      </c>
      <c r="O42" t="n">
        <v>-0.02239599097980754</v>
      </c>
      <c r="P42" t="n">
        <v>0.005742683934390402</v>
      </c>
      <c r="Q42" t="n">
        <v>0.01646401251079321</v>
      </c>
      <c r="R42" t="n">
        <v>0.09933877587722284</v>
      </c>
      <c r="S42" t="n">
        <v>0.04287207163042623</v>
      </c>
      <c r="T42" t="n">
        <v>-0.03137572115498086</v>
      </c>
      <c r="U42" t="n">
        <v>0.000774081141223268</v>
      </c>
      <c r="V42" t="n">
        <v>0.08576820803151493</v>
      </c>
      <c r="W42" t="n">
        <v>0.001300136229039281</v>
      </c>
      <c r="X42" t="n">
        <v>0.09859643448140121</v>
      </c>
      <c r="Y42" t="n">
        <v>0.04255169609514452</v>
      </c>
      <c r="Z42" t="n">
        <v>-0.03114125584743685</v>
      </c>
      <c r="AA42" t="n">
        <v>0.0007682965674777138</v>
      </c>
      <c r="AB42" t="n">
        <v>0.08512727712910552</v>
      </c>
    </row>
    <row r="43">
      <c r="A43" t="inlineStr">
        <is>
          <t>2025-09-30</t>
        </is>
      </c>
      <c r="B43" t="inlineStr">
        <is>
          <t>2025-11-14</t>
        </is>
      </c>
      <c r="C43" t="inlineStr">
        <is>
          <t>2026-02-17</t>
        </is>
      </c>
      <c r="D43" t="n">
        <v>1.040383299110198</v>
      </c>
      <c r="E43" t="n">
        <v>22</v>
      </c>
      <c r="F43" t="n">
        <v>1</v>
      </c>
      <c r="G43" t="n">
        <v>0.08020944156888121</v>
      </c>
      <c r="H43" t="n">
        <v>0.03016008345089825</v>
      </c>
      <c r="I43" t="n">
        <v>-0.0001685639679555769</v>
      </c>
      <c r="J43" t="n">
        <v>0.00348299330564018</v>
      </c>
      <c r="K43" t="n">
        <v>0.04383601677764697</v>
      </c>
      <c r="L43" t="n">
        <v>0.002898912002651383</v>
      </c>
      <c r="M43" t="n">
        <v>0.07048169591856616</v>
      </c>
      <c r="N43" t="n">
        <v>0.0226490808766154</v>
      </c>
      <c r="O43" t="n">
        <v>-0.001385757319206665</v>
      </c>
      <c r="P43" t="n">
        <v>0.003644228953726557</v>
      </c>
      <c r="Q43" t="n">
        <v>0.04313936909862714</v>
      </c>
      <c r="R43" t="n">
        <v>-0.01263262011195063</v>
      </c>
      <c r="S43" t="n">
        <v>0.01645405102203027</v>
      </c>
      <c r="T43" t="n">
        <v>0.02151824928678826</v>
      </c>
      <c r="U43" t="n">
        <v>-0.004863564067057779</v>
      </c>
      <c r="V43" t="n">
        <v>-0.04493808636389799</v>
      </c>
      <c r="W43" t="n">
        <v>-0.0008032699898133933</v>
      </c>
      <c r="X43" t="n">
        <v>-0.01214227498918412</v>
      </c>
      <c r="Y43" t="n">
        <v>0.01581537404156989</v>
      </c>
      <c r="Z43" t="n">
        <v>0.02068300145263003</v>
      </c>
      <c r="AA43" t="n">
        <v>-0.004674780988139089</v>
      </c>
      <c r="AB43" t="n">
        <v>-0.04319377906424669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4" t="inlineStr">
        <is>
          <t>layer</t>
        </is>
      </c>
      <c r="B1" s="4" t="inlineStr">
        <is>
          <t>basis</t>
        </is>
      </c>
      <c r="C1" s="4" t="inlineStr">
        <is>
          <t>n</t>
        </is>
      </c>
      <c r="D1" s="4" t="inlineStr">
        <is>
          <t>mean_bps</t>
        </is>
      </c>
      <c r="E1" s="4" t="inlineStr">
        <is>
          <t>std_bps</t>
        </is>
      </c>
      <c r="F1" s="4" t="inlineStr">
        <is>
          <t>t</t>
        </is>
      </c>
      <c r="G1" s="4" t="inlineStr">
        <is>
          <t>hit_%</t>
        </is>
      </c>
      <c r="H1" s="4" t="inlineStr">
        <is>
          <t>skew</t>
        </is>
      </c>
      <c r="I1" s="4" t="inlineStr">
        <is>
          <t>ann_Sharpe</t>
        </is>
      </c>
      <c r="J1" s="4" t="inlineStr">
        <is>
          <t>ann_%</t>
        </is>
      </c>
      <c r="K1" s="4" t="inlineStr">
        <is>
          <t>cum_%</t>
        </is>
      </c>
    </row>
    <row r="2">
      <c r="A2" t="inlineStr">
        <is>
          <t>market</t>
        </is>
      </c>
      <c r="B2" t="inlineStr">
        <is>
          <t>unlagged_fwdQ</t>
        </is>
      </c>
      <c r="C2" s="5">
        <f>COUNT(Berkshire_quarterly!H2:H43)</f>
        <v/>
      </c>
      <c r="D2" s="5">
        <f>AVERAGE(Berkshire_quarterly!H2:H43)*10000</f>
        <v/>
      </c>
      <c r="E2" s="5">
        <f>STDEV(Berkshire_quarterly!H2:H43)*10000</f>
        <v/>
      </c>
      <c r="F2" s="5">
        <f>AVERAGE(Berkshire_quarterly!H2:H43)/(STDEV(Berkshire_quarterly!H2:H43)/SQRT(COUNT(Berkshire_quarterly!H2:H43)))</f>
        <v/>
      </c>
      <c r="G2" s="5">
        <f>COUNTIF(Berkshire_quarterly!H2:H43,"&gt;0")/COUNT(Berkshire_quarterly!H2:H43)*100</f>
        <v/>
      </c>
      <c r="H2" s="5">
        <f>SKEW(Berkshire_quarterly!H2:H43)</f>
        <v/>
      </c>
      <c r="I2" s="5">
        <f>AVERAGE(Berkshire_quarterly!H2:H43)/STDEV(Berkshire_quarterly!H2:H43)*SQRT(4)</f>
        <v/>
      </c>
      <c r="J2" s="5">
        <f>(EXP((4/COUNT(Berkshire_quarterly!H2:H43))*SUMPRODUCT(LN(1+Berkshire_quarterly!H2:H43)))-1)*100</f>
        <v/>
      </c>
      <c r="K2" s="5">
        <f>(EXP(SUMPRODUCT(LN(1+Berkshire_quarterly!H2:H43)))-1)*100</f>
        <v/>
      </c>
    </row>
    <row r="3">
      <c r="A3" t="inlineStr">
        <is>
          <t>market</t>
        </is>
      </c>
      <c r="B3" t="inlineStr">
        <is>
          <t>unlagged_lagtwin</t>
        </is>
      </c>
      <c r="C3" s="5">
        <f>COUNT(Berkshire_quarterly!N2:N43)</f>
        <v/>
      </c>
      <c r="D3" s="5">
        <f>AVERAGE(Berkshire_quarterly!N2:N43)*10000</f>
        <v/>
      </c>
      <c r="E3" s="5">
        <f>STDEV(Berkshire_quarterly!N2:N43)*10000</f>
        <v/>
      </c>
      <c r="F3" s="5">
        <f>AVERAGE(Berkshire_quarterly!N2:N43)/(STDEV(Berkshire_quarterly!N2:N43)/SQRT(COUNT(Berkshire_quarterly!N2:N43)))</f>
        <v/>
      </c>
      <c r="G3" s="5">
        <f>COUNTIF(Berkshire_quarterly!N2:N43,"&gt;0")/COUNT(Berkshire_quarterly!N2:N43)*100</f>
        <v/>
      </c>
      <c r="H3" s="5">
        <f>SKEW(Berkshire_quarterly!N2:N43)</f>
        <v/>
      </c>
      <c r="I3" s="5">
        <f>AVERAGE(Berkshire_quarterly!N2:N43)/STDEV(Berkshire_quarterly!N2:N43)*SQRT(4)</f>
        <v/>
      </c>
      <c r="J3" s="5">
        <f>(EXP((4/COUNT(Berkshire_quarterly!N2:N43))*SUMPRODUCT(LN(1+Berkshire_quarterly!N2:N43)))-1)*100</f>
        <v/>
      </c>
      <c r="K3" s="5">
        <f>(EXP(SUMPRODUCT(LN(1+Berkshire_quarterly!N2:N43)))-1)*100</f>
        <v/>
      </c>
    </row>
    <row r="4">
      <c r="A4" t="inlineStr">
        <is>
          <t>market</t>
        </is>
      </c>
      <c r="B4" t="inlineStr">
        <is>
          <t>lagged_perQ</t>
        </is>
      </c>
      <c r="C4" s="5">
        <f>COUNT(Berkshire_quarterly!Y2:Y43)</f>
        <v/>
      </c>
      <c r="D4" s="5">
        <f>AVERAGE(Berkshire_quarterly!Y2:Y43)*10000</f>
        <v/>
      </c>
      <c r="E4" s="5">
        <f>STDEV(Berkshire_quarterly!Y2:Y43)*10000</f>
        <v/>
      </c>
      <c r="F4" s="5">
        <f>AVERAGE(Berkshire_quarterly!Y2:Y43)/(STDEV(Berkshire_quarterly!Y2:Y43)/SQRT(COUNT(Berkshire_quarterly!Y2:Y43)))</f>
        <v/>
      </c>
      <c r="G4" s="5">
        <f>COUNTIF(Berkshire_quarterly!Y2:Y43,"&gt;0")/COUNT(Berkshire_quarterly!Y2:Y43)*100</f>
        <v/>
      </c>
      <c r="H4" s="5">
        <f>SKEW(Berkshire_quarterly!Y2:Y43)</f>
        <v/>
      </c>
      <c r="I4" s="5">
        <f>AVERAGE(Berkshire_quarterly!Y2:Y43)/STDEV(Berkshire_quarterly!Y2:Y43)*SQRT(4)</f>
        <v/>
      </c>
      <c r="J4" s="5">
        <f>(EXP((4/COUNT(Berkshire_quarterly!Y2:Y43))*SUMPRODUCT(LN(1+Berkshire_quarterly!Y2:Y43)))-1)*100</f>
        <v/>
      </c>
      <c r="K4" s="5">
        <f>(EXP(SUMPRODUCT(LN(1+Berkshire_quarterly!Y2:Y43)))-1)*100</f>
        <v/>
      </c>
    </row>
    <row r="5">
      <c r="A5" t="inlineStr">
        <is>
          <t>sector</t>
        </is>
      </c>
      <c r="B5" t="inlineStr">
        <is>
          <t>unlagged_fwdQ</t>
        </is>
      </c>
      <c r="C5" s="5">
        <f>COUNT(Berkshire_quarterly!I2:I43)</f>
        <v/>
      </c>
      <c r="D5" s="5">
        <f>AVERAGE(Berkshire_quarterly!I2:I43)*10000</f>
        <v/>
      </c>
      <c r="E5" s="5">
        <f>STDEV(Berkshire_quarterly!I2:I43)*10000</f>
        <v/>
      </c>
      <c r="F5" s="5">
        <f>AVERAGE(Berkshire_quarterly!I2:I43)/(STDEV(Berkshire_quarterly!I2:I43)/SQRT(COUNT(Berkshire_quarterly!I2:I43)))</f>
        <v/>
      </c>
      <c r="G5" s="5">
        <f>COUNTIF(Berkshire_quarterly!I2:I43,"&gt;0")/COUNT(Berkshire_quarterly!I2:I43)*100</f>
        <v/>
      </c>
      <c r="H5" s="5">
        <f>SKEW(Berkshire_quarterly!I2:I43)</f>
        <v/>
      </c>
      <c r="I5" s="5">
        <f>AVERAGE(Berkshire_quarterly!I2:I43)/STDEV(Berkshire_quarterly!I2:I43)*SQRT(4)</f>
        <v/>
      </c>
      <c r="J5" s="5">
        <f>(EXP((4/COUNT(Berkshire_quarterly!I2:I43))*SUMPRODUCT(LN(1+Berkshire_quarterly!I2:I43)))-1)*100</f>
        <v/>
      </c>
      <c r="K5" s="5">
        <f>(EXP(SUMPRODUCT(LN(1+Berkshire_quarterly!I2:I43)))-1)*100</f>
        <v/>
      </c>
    </row>
    <row r="6">
      <c r="A6" t="inlineStr">
        <is>
          <t>sector</t>
        </is>
      </c>
      <c r="B6" t="inlineStr">
        <is>
          <t>unlagged_lagtwin</t>
        </is>
      </c>
      <c r="C6" s="5">
        <f>COUNT(Berkshire_quarterly!O2:O43)</f>
        <v/>
      </c>
      <c r="D6" s="5">
        <f>AVERAGE(Berkshire_quarterly!O2:O43)*10000</f>
        <v/>
      </c>
      <c r="E6" s="5">
        <f>STDEV(Berkshire_quarterly!O2:O43)*10000</f>
        <v/>
      </c>
      <c r="F6" s="5">
        <f>AVERAGE(Berkshire_quarterly!O2:O43)/(STDEV(Berkshire_quarterly!O2:O43)/SQRT(COUNT(Berkshire_quarterly!O2:O43)))</f>
        <v/>
      </c>
      <c r="G6" s="5">
        <f>COUNTIF(Berkshire_quarterly!O2:O43,"&gt;0")/COUNT(Berkshire_quarterly!O2:O43)*100</f>
        <v/>
      </c>
      <c r="H6" s="5">
        <f>SKEW(Berkshire_quarterly!O2:O43)</f>
        <v/>
      </c>
      <c r="I6" s="5">
        <f>AVERAGE(Berkshire_quarterly!O2:O43)/STDEV(Berkshire_quarterly!O2:O43)*SQRT(4)</f>
        <v/>
      </c>
      <c r="J6" s="5">
        <f>(EXP((4/COUNT(Berkshire_quarterly!O2:O43))*SUMPRODUCT(LN(1+Berkshire_quarterly!O2:O43)))-1)*100</f>
        <v/>
      </c>
      <c r="K6" s="5">
        <f>(EXP(SUMPRODUCT(LN(1+Berkshire_quarterly!O2:O43)))-1)*100</f>
        <v/>
      </c>
    </row>
    <row r="7">
      <c r="A7" t="inlineStr">
        <is>
          <t>sector</t>
        </is>
      </c>
      <c r="B7" t="inlineStr">
        <is>
          <t>lagged_perQ</t>
        </is>
      </c>
      <c r="C7" s="5">
        <f>COUNT(Berkshire_quarterly!Z2:Z43)</f>
        <v/>
      </c>
      <c r="D7" s="5">
        <f>AVERAGE(Berkshire_quarterly!Z2:Z43)*10000</f>
        <v/>
      </c>
      <c r="E7" s="5">
        <f>STDEV(Berkshire_quarterly!Z2:Z43)*10000</f>
        <v/>
      </c>
      <c r="F7" s="5">
        <f>AVERAGE(Berkshire_quarterly!Z2:Z43)/(STDEV(Berkshire_quarterly!Z2:Z43)/SQRT(COUNT(Berkshire_quarterly!Z2:Z43)))</f>
        <v/>
      </c>
      <c r="G7" s="5">
        <f>COUNTIF(Berkshire_quarterly!Z2:Z43,"&gt;0")/COUNT(Berkshire_quarterly!Z2:Z43)*100</f>
        <v/>
      </c>
      <c r="H7" s="5">
        <f>SKEW(Berkshire_quarterly!Z2:Z43)</f>
        <v/>
      </c>
      <c r="I7" s="5">
        <f>AVERAGE(Berkshire_quarterly!Z2:Z43)/STDEV(Berkshire_quarterly!Z2:Z43)*SQRT(4)</f>
        <v/>
      </c>
      <c r="J7" s="5">
        <f>(EXP((4/COUNT(Berkshire_quarterly!Z2:Z43))*SUMPRODUCT(LN(1+Berkshire_quarterly!Z2:Z43)))-1)*100</f>
        <v/>
      </c>
      <c r="K7" s="5">
        <f>(EXP(SUMPRODUCT(LN(1+Berkshire_quarterly!Z2:Z43)))-1)*100</f>
        <v/>
      </c>
    </row>
    <row r="8">
      <c r="A8" t="inlineStr">
        <is>
          <t>subsector</t>
        </is>
      </c>
      <c r="B8" t="inlineStr">
        <is>
          <t>unlagged_fwdQ</t>
        </is>
      </c>
      <c r="C8" s="5">
        <f>COUNT(Berkshire_quarterly!J2:J43)</f>
        <v/>
      </c>
      <c r="D8" s="5">
        <f>AVERAGE(Berkshire_quarterly!J2:J43)*10000</f>
        <v/>
      </c>
      <c r="E8" s="5">
        <f>STDEV(Berkshire_quarterly!J2:J43)*10000</f>
        <v/>
      </c>
      <c r="F8" s="5">
        <f>AVERAGE(Berkshire_quarterly!J2:J43)/(STDEV(Berkshire_quarterly!J2:J43)/SQRT(COUNT(Berkshire_quarterly!J2:J43)))</f>
        <v/>
      </c>
      <c r="G8" s="5">
        <f>COUNTIF(Berkshire_quarterly!J2:J43,"&gt;0")/COUNT(Berkshire_quarterly!J2:J43)*100</f>
        <v/>
      </c>
      <c r="H8" s="5">
        <f>SKEW(Berkshire_quarterly!J2:J43)</f>
        <v/>
      </c>
      <c r="I8" s="5">
        <f>AVERAGE(Berkshire_quarterly!J2:J43)/STDEV(Berkshire_quarterly!J2:J43)*SQRT(4)</f>
        <v/>
      </c>
      <c r="J8" s="5">
        <f>(EXP((4/COUNT(Berkshire_quarterly!J2:J43))*SUMPRODUCT(LN(1+Berkshire_quarterly!J2:J43)))-1)*100</f>
        <v/>
      </c>
      <c r="K8" s="5">
        <f>(EXP(SUMPRODUCT(LN(1+Berkshire_quarterly!J2:J43)))-1)*100</f>
        <v/>
      </c>
    </row>
    <row r="9">
      <c r="A9" t="inlineStr">
        <is>
          <t>subsector</t>
        </is>
      </c>
      <c r="B9" t="inlineStr">
        <is>
          <t>unlagged_lagtwin</t>
        </is>
      </c>
      <c r="C9" s="5">
        <f>COUNT(Berkshire_quarterly!P2:P43)</f>
        <v/>
      </c>
      <c r="D9" s="5">
        <f>AVERAGE(Berkshire_quarterly!P2:P43)*10000</f>
        <v/>
      </c>
      <c r="E9" s="5">
        <f>STDEV(Berkshire_quarterly!P2:P43)*10000</f>
        <v/>
      </c>
      <c r="F9" s="5">
        <f>AVERAGE(Berkshire_quarterly!P2:P43)/(STDEV(Berkshire_quarterly!P2:P43)/SQRT(COUNT(Berkshire_quarterly!P2:P43)))</f>
        <v/>
      </c>
      <c r="G9" s="5">
        <f>COUNTIF(Berkshire_quarterly!P2:P43,"&gt;0")/COUNT(Berkshire_quarterly!P2:P43)*100</f>
        <v/>
      </c>
      <c r="H9" s="5">
        <f>SKEW(Berkshire_quarterly!P2:P43)</f>
        <v/>
      </c>
      <c r="I9" s="5">
        <f>AVERAGE(Berkshire_quarterly!P2:P43)/STDEV(Berkshire_quarterly!P2:P43)*SQRT(4)</f>
        <v/>
      </c>
      <c r="J9" s="5">
        <f>(EXP((4/COUNT(Berkshire_quarterly!P2:P43))*SUMPRODUCT(LN(1+Berkshire_quarterly!P2:P43)))-1)*100</f>
        <v/>
      </c>
      <c r="K9" s="5">
        <f>(EXP(SUMPRODUCT(LN(1+Berkshire_quarterly!P2:P43)))-1)*100</f>
        <v/>
      </c>
    </row>
    <row r="10">
      <c r="A10" t="inlineStr">
        <is>
          <t>subsector</t>
        </is>
      </c>
      <c r="B10" t="inlineStr">
        <is>
          <t>lagged_perQ</t>
        </is>
      </c>
      <c r="C10" s="5">
        <f>COUNT(Berkshire_quarterly!AA2:AA43)</f>
        <v/>
      </c>
      <c r="D10" s="5">
        <f>AVERAGE(Berkshire_quarterly!AA2:AA43)*10000</f>
        <v/>
      </c>
      <c r="E10" s="5">
        <f>STDEV(Berkshire_quarterly!AA2:AA43)*10000</f>
        <v/>
      </c>
      <c r="F10" s="5">
        <f>AVERAGE(Berkshire_quarterly!AA2:AA43)/(STDEV(Berkshire_quarterly!AA2:AA43)/SQRT(COUNT(Berkshire_quarterly!AA2:AA43)))</f>
        <v/>
      </c>
      <c r="G10" s="5">
        <f>COUNTIF(Berkshire_quarterly!AA2:AA43,"&gt;0")/COUNT(Berkshire_quarterly!AA2:AA43)*100</f>
        <v/>
      </c>
      <c r="H10" s="5">
        <f>SKEW(Berkshire_quarterly!AA2:AA43)</f>
        <v/>
      </c>
      <c r="I10" s="5">
        <f>AVERAGE(Berkshire_quarterly!AA2:AA43)/STDEV(Berkshire_quarterly!AA2:AA43)*SQRT(4)</f>
        <v/>
      </c>
      <c r="J10" s="5">
        <f>(EXP((4/COUNT(Berkshire_quarterly!AA2:AA43))*SUMPRODUCT(LN(1+Berkshire_quarterly!AA2:AA43)))-1)*100</f>
        <v/>
      </c>
      <c r="K10" s="5">
        <f>(EXP(SUMPRODUCT(LN(1+Berkshire_quarterly!AA2:AA43)))-1)*100</f>
        <v/>
      </c>
    </row>
    <row r="11">
      <c r="A11" t="inlineStr">
        <is>
          <t>sector+subsector</t>
        </is>
      </c>
      <c r="B11" t="inlineStr">
        <is>
          <t>unlagged_fwdQ</t>
        </is>
      </c>
      <c r="C11" s="5">
        <f>COUNT(Berkshire_quarterly!I2:I43)</f>
        <v/>
      </c>
      <c r="D11" s="5">
        <f>SUMPRODUCT((Berkshire_quarterly!I2:I43+Berkshire_quarterly!J2:J43))/COUNT(Berkshire_quarterly!I2:I43)*10000</f>
        <v/>
      </c>
      <c r="E11" s="5">
        <f>SQRT((SUMPRODUCT((Berkshire_quarterly!I2:I43+Berkshire_quarterly!J2:J43),(Berkshire_quarterly!I2:I43+Berkshire_quarterly!J2:J43))-COUNT(Berkshire_quarterly!I2:I43)*(SUMPRODUCT((Berkshire_quarterly!I2:I43+Berkshire_quarterly!J2:J43))/COUNT(Berkshire_quarterly!I2:I43))^2)/(COUNT(Berkshire_quarterly!I2:I43)-1))*10000</f>
        <v/>
      </c>
      <c r="F11" s="5">
        <f>D11*SQRT(C11)/E11</f>
        <v/>
      </c>
      <c r="G11" s="5">
        <f>SUMPRODUCT(--((Berkshire_quarterly!I2:I43+Berkshire_quarterly!J2:J43)&gt;0))/COUNT(Berkshire_quarterly!I2:I43)*100</f>
        <v/>
      </c>
      <c r="H11" s="5" t="inlineStr"/>
      <c r="I11" s="5">
        <f>(D11/10000)/(E11/10000)*SQRT(4)</f>
        <v/>
      </c>
      <c r="J11" s="5">
        <f>(EXP((4/COUNT(Berkshire_quarterly!I2:I43))*SUMPRODUCT(LN(1+(Berkshire_quarterly!I2:I43+Berkshire_quarterly!J2:J43))))-1)*100</f>
        <v/>
      </c>
      <c r="K11" s="5">
        <f>(EXP(SUMPRODUCT(LN(1+(Berkshire_quarterly!I2:I43+Berkshire_quarterly!J2:J43))))-1)*100</f>
        <v/>
      </c>
    </row>
    <row r="12">
      <c r="A12" t="inlineStr">
        <is>
          <t>sector+subsector</t>
        </is>
      </c>
      <c r="B12" t="inlineStr">
        <is>
          <t>unlagged_lagtwin</t>
        </is>
      </c>
      <c r="C12" s="5">
        <f>COUNT(Berkshire_quarterly!O2:O43)</f>
        <v/>
      </c>
      <c r="D12" s="5">
        <f>SUMPRODUCT((Berkshire_quarterly!O2:O43+Berkshire_quarterly!P2:P43))/COUNT(Berkshire_quarterly!O2:O43)*10000</f>
        <v/>
      </c>
      <c r="E12" s="5">
        <f>SQRT((SUMPRODUCT((Berkshire_quarterly!O2:O43+Berkshire_quarterly!P2:P43),(Berkshire_quarterly!O2:O43+Berkshire_quarterly!P2:P43))-COUNT(Berkshire_quarterly!O2:O43)*(SUMPRODUCT((Berkshire_quarterly!O2:O43+Berkshire_quarterly!P2:P43))/COUNT(Berkshire_quarterly!O2:O43))^2)/(COUNT(Berkshire_quarterly!O2:O43)-1))*10000</f>
        <v/>
      </c>
      <c r="F12" s="5">
        <f>D12*SQRT(C12)/E12</f>
        <v/>
      </c>
      <c r="G12" s="5">
        <f>SUMPRODUCT(--((Berkshire_quarterly!O2:O43+Berkshire_quarterly!P2:P43)&gt;0))/COUNT(Berkshire_quarterly!O2:O43)*100</f>
        <v/>
      </c>
      <c r="H12" s="5" t="inlineStr"/>
      <c r="I12" s="5">
        <f>(D12/10000)/(E12/10000)*SQRT(4)</f>
        <v/>
      </c>
      <c r="J12" s="5">
        <f>(EXP((4/COUNT(Berkshire_quarterly!O2:O43))*SUMPRODUCT(LN(1+(Berkshire_quarterly!O2:O43+Berkshire_quarterly!P2:P43))))-1)*100</f>
        <v/>
      </c>
      <c r="K12" s="5">
        <f>(EXP(SUMPRODUCT(LN(1+(Berkshire_quarterly!O2:O43+Berkshire_quarterly!P2:P43))))-1)*100</f>
        <v/>
      </c>
    </row>
    <row r="13">
      <c r="A13" t="inlineStr">
        <is>
          <t>sector+subsector</t>
        </is>
      </c>
      <c r="B13" t="inlineStr">
        <is>
          <t>lagged_perQ</t>
        </is>
      </c>
      <c r="C13" s="5">
        <f>COUNT(Berkshire_quarterly!Z2:Z43)</f>
        <v/>
      </c>
      <c r="D13" s="5">
        <f>SUMPRODUCT((Berkshire_quarterly!Z2:Z43+Berkshire_quarterly!AA2:AA43))/COUNT(Berkshire_quarterly!Z2:Z43)*10000</f>
        <v/>
      </c>
      <c r="E13" s="5">
        <f>SQRT((SUMPRODUCT((Berkshire_quarterly!Z2:Z43+Berkshire_quarterly!AA2:AA43),(Berkshire_quarterly!Z2:Z43+Berkshire_quarterly!AA2:AA43))-COUNT(Berkshire_quarterly!Z2:Z43)*(SUMPRODUCT((Berkshire_quarterly!Z2:Z43+Berkshire_quarterly!AA2:AA43))/COUNT(Berkshire_quarterly!Z2:Z43))^2)/(COUNT(Berkshire_quarterly!Z2:Z43)-1))*10000</f>
        <v/>
      </c>
      <c r="F13" s="5">
        <f>D13*SQRT(C13)/E13</f>
        <v/>
      </c>
      <c r="G13" s="5">
        <f>SUMPRODUCT(--((Berkshire_quarterly!Z2:Z43+Berkshire_quarterly!AA2:AA43)&gt;0))/COUNT(Berkshire_quarterly!Z2:Z43)*100</f>
        <v/>
      </c>
      <c r="H13" s="5" t="inlineStr"/>
      <c r="I13" s="5">
        <f>(D13/10000)/(E13/10000)*SQRT(4)</f>
        <v/>
      </c>
      <c r="J13" s="5">
        <f>(EXP((4/COUNT(Berkshire_quarterly!Z2:Z43))*SUMPRODUCT(LN(1+(Berkshire_quarterly!Z2:Z43+Berkshire_quarterly!AA2:AA43))))-1)*100</f>
        <v/>
      </c>
      <c r="K13" s="5">
        <f>(EXP(SUMPRODUCT(LN(1+(Berkshire_quarterly!Z2:Z43+Berkshire_quarterly!AA2:AA43))))-1)*100</f>
        <v/>
      </c>
    </row>
    <row r="14">
      <c r="A14" t="inlineStr">
        <is>
          <t>mkt+sec+subsec</t>
        </is>
      </c>
      <c r="B14" t="inlineStr">
        <is>
          <t>unlagged_fwdQ</t>
        </is>
      </c>
      <c r="C14" s="5">
        <f>COUNT(Berkshire_quarterly!H2:H43)</f>
        <v/>
      </c>
      <c r="D14" s="5">
        <f>SUMPRODUCT((Berkshire_quarterly!H2:H43+Berkshire_quarterly!I2:I43+Berkshire_quarterly!J2:J43))/COUNT(Berkshire_quarterly!H2:H43)*10000</f>
        <v/>
      </c>
      <c r="E14" s="5">
        <f>SQRT((SUMPRODUCT((Berkshire_quarterly!H2:H43+Berkshire_quarterly!I2:I43+Berkshire_quarterly!J2:J43),(Berkshire_quarterly!H2:H43+Berkshire_quarterly!I2:I43+Berkshire_quarterly!J2:J43))-COUNT(Berkshire_quarterly!H2:H43)*(SUMPRODUCT((Berkshire_quarterly!H2:H43+Berkshire_quarterly!I2:I43+Berkshire_quarterly!J2:J43))/COUNT(Berkshire_quarterly!H2:H43))^2)/(COUNT(Berkshire_quarterly!H2:H43)-1))*10000</f>
        <v/>
      </c>
      <c r="F14" s="5">
        <f>D14*SQRT(C14)/E14</f>
        <v/>
      </c>
      <c r="G14" s="5">
        <f>SUMPRODUCT(--((Berkshire_quarterly!H2:H43+Berkshire_quarterly!I2:I43+Berkshire_quarterly!J2:J43)&gt;0))/COUNT(Berkshire_quarterly!H2:H43)*100</f>
        <v/>
      </c>
      <c r="H14" s="5" t="inlineStr"/>
      <c r="I14" s="5">
        <f>(D14/10000)/(E14/10000)*SQRT(4)</f>
        <v/>
      </c>
      <c r="J14" s="5">
        <f>(EXP((4/COUNT(Berkshire_quarterly!H2:H43))*SUMPRODUCT(LN(1+(Berkshire_quarterly!H2:H43+Berkshire_quarterly!I2:I43+Berkshire_quarterly!J2:J43))))-1)*100</f>
        <v/>
      </c>
      <c r="K14" s="5">
        <f>(EXP(SUMPRODUCT(LN(1+(Berkshire_quarterly!H2:H43+Berkshire_quarterly!I2:I43+Berkshire_quarterly!J2:J43))))-1)*100</f>
        <v/>
      </c>
    </row>
    <row r="15">
      <c r="A15" t="inlineStr">
        <is>
          <t>mkt+sec+subsec</t>
        </is>
      </c>
      <c r="B15" t="inlineStr">
        <is>
          <t>unlagged_lagtwin</t>
        </is>
      </c>
      <c r="C15" s="5">
        <f>COUNT(Berkshire_quarterly!N2:N43)</f>
        <v/>
      </c>
      <c r="D15" s="5">
        <f>SUMPRODUCT((Berkshire_quarterly!N2:N43+Berkshire_quarterly!O2:O43+Berkshire_quarterly!P2:P43))/COUNT(Berkshire_quarterly!N2:N43)*10000</f>
        <v/>
      </c>
      <c r="E15" s="5">
        <f>SQRT((SUMPRODUCT((Berkshire_quarterly!N2:N43+Berkshire_quarterly!O2:O43+Berkshire_quarterly!P2:P43),(Berkshire_quarterly!N2:N43+Berkshire_quarterly!O2:O43+Berkshire_quarterly!P2:P43))-COUNT(Berkshire_quarterly!N2:N43)*(SUMPRODUCT((Berkshire_quarterly!N2:N43+Berkshire_quarterly!O2:O43+Berkshire_quarterly!P2:P43))/COUNT(Berkshire_quarterly!N2:N43))^2)/(COUNT(Berkshire_quarterly!N2:N43)-1))*10000</f>
        <v/>
      </c>
      <c r="F15" s="5">
        <f>D15*SQRT(C15)/E15</f>
        <v/>
      </c>
      <c r="G15" s="5">
        <f>SUMPRODUCT(--((Berkshire_quarterly!N2:N43+Berkshire_quarterly!O2:O43+Berkshire_quarterly!P2:P43)&gt;0))/COUNT(Berkshire_quarterly!N2:N43)*100</f>
        <v/>
      </c>
      <c r="H15" s="5" t="inlineStr"/>
      <c r="I15" s="5">
        <f>(D15/10000)/(E15/10000)*SQRT(4)</f>
        <v/>
      </c>
      <c r="J15" s="5">
        <f>(EXP((4/COUNT(Berkshire_quarterly!N2:N43))*SUMPRODUCT(LN(1+(Berkshire_quarterly!N2:N43+Berkshire_quarterly!O2:O43+Berkshire_quarterly!P2:P43))))-1)*100</f>
        <v/>
      </c>
      <c r="K15" s="5">
        <f>(EXP(SUMPRODUCT(LN(1+(Berkshire_quarterly!N2:N43+Berkshire_quarterly!O2:O43+Berkshire_quarterly!P2:P43))))-1)*100</f>
        <v/>
      </c>
    </row>
    <row r="16">
      <c r="A16" t="inlineStr">
        <is>
          <t>mkt+sec+subsec</t>
        </is>
      </c>
      <c r="B16" t="inlineStr">
        <is>
          <t>lagged_perQ</t>
        </is>
      </c>
      <c r="C16" s="5">
        <f>COUNT(Berkshire_quarterly!Y2:Y43)</f>
        <v/>
      </c>
      <c r="D16" s="5">
        <f>SUMPRODUCT((Berkshire_quarterly!Y2:Y43+Berkshire_quarterly!Z2:Z43+Berkshire_quarterly!AA2:AA43))/COUNT(Berkshire_quarterly!Y2:Y43)*10000</f>
        <v/>
      </c>
      <c r="E16" s="5">
        <f>SQRT((SUMPRODUCT((Berkshire_quarterly!Y2:Y43+Berkshire_quarterly!Z2:Z43+Berkshire_quarterly!AA2:AA43),(Berkshire_quarterly!Y2:Y43+Berkshire_quarterly!Z2:Z43+Berkshire_quarterly!AA2:AA43))-COUNT(Berkshire_quarterly!Y2:Y43)*(SUMPRODUCT((Berkshire_quarterly!Y2:Y43+Berkshire_quarterly!Z2:Z43+Berkshire_quarterly!AA2:AA43))/COUNT(Berkshire_quarterly!Y2:Y43))^2)/(COUNT(Berkshire_quarterly!Y2:Y43)-1))*10000</f>
        <v/>
      </c>
      <c r="F16" s="5">
        <f>D16*SQRT(C16)/E16</f>
        <v/>
      </c>
      <c r="G16" s="5">
        <f>SUMPRODUCT(--((Berkshire_quarterly!Y2:Y43+Berkshire_quarterly!Z2:Z43+Berkshire_quarterly!AA2:AA43)&gt;0))/COUNT(Berkshire_quarterly!Y2:Y43)*100</f>
        <v/>
      </c>
      <c r="H16" s="5" t="inlineStr"/>
      <c r="I16" s="5">
        <f>(D16/10000)/(E16/10000)*SQRT(4)</f>
        <v/>
      </c>
      <c r="J16" s="5">
        <f>(EXP((4/COUNT(Berkshire_quarterly!Y2:Y43))*SUMPRODUCT(LN(1+(Berkshire_quarterly!Y2:Y43+Berkshire_quarterly!Z2:Z43+Berkshire_quarterly!AA2:AA43))))-1)*100</f>
        <v/>
      </c>
      <c r="K16" s="5">
        <f>(EXP(SUMPRODUCT(LN(1+(Berkshire_quarterly!Y2:Y43+Berkshire_quarterly!Z2:Z43+Berkshire_quarterly!AA2:AA43))))-1)*100</f>
        <v/>
      </c>
    </row>
    <row r="17">
      <c r="A17" t="inlineStr">
        <is>
          <t>idio</t>
        </is>
      </c>
      <c r="B17" t="inlineStr">
        <is>
          <t>unlagged_fwdQ</t>
        </is>
      </c>
      <c r="C17" s="5">
        <f>COUNT(Berkshire_quarterly!K2:K43)</f>
        <v/>
      </c>
      <c r="D17" s="5">
        <f>AVERAGE(Berkshire_quarterly!K2:K43)*10000</f>
        <v/>
      </c>
      <c r="E17" s="5">
        <f>STDEV(Berkshire_quarterly!K2:K43)*10000</f>
        <v/>
      </c>
      <c r="F17" s="5">
        <f>AVERAGE(Berkshire_quarterly!K2:K43)/(STDEV(Berkshire_quarterly!K2:K43)/SQRT(COUNT(Berkshire_quarterly!K2:K43)))</f>
        <v/>
      </c>
      <c r="G17" s="5">
        <f>COUNTIF(Berkshire_quarterly!K2:K43,"&gt;0")/COUNT(Berkshire_quarterly!K2:K43)*100</f>
        <v/>
      </c>
      <c r="H17" s="5">
        <f>SKEW(Berkshire_quarterly!K2:K43)</f>
        <v/>
      </c>
      <c r="I17" s="5">
        <f>AVERAGE(Berkshire_quarterly!K2:K43)/STDEV(Berkshire_quarterly!K2:K43)*SQRT(4)</f>
        <v/>
      </c>
      <c r="J17" s="5">
        <f>(EXP((4/COUNT(Berkshire_quarterly!K2:K43))*SUMPRODUCT(LN(1+Berkshire_quarterly!K2:K43)))-1)*100</f>
        <v/>
      </c>
      <c r="K17" s="5">
        <f>(EXP(SUMPRODUCT(LN(1+Berkshire_quarterly!K2:K43)))-1)*100</f>
        <v/>
      </c>
    </row>
    <row r="18">
      <c r="A18" t="inlineStr">
        <is>
          <t>idio</t>
        </is>
      </c>
      <c r="B18" t="inlineStr">
        <is>
          <t>unlagged_lagtwin</t>
        </is>
      </c>
      <c r="C18" s="5">
        <f>COUNT(Berkshire_quarterly!Q2:Q43)</f>
        <v/>
      </c>
      <c r="D18" s="5">
        <f>AVERAGE(Berkshire_quarterly!Q2:Q43)*10000</f>
        <v/>
      </c>
      <c r="E18" s="5">
        <f>STDEV(Berkshire_quarterly!Q2:Q43)*10000</f>
        <v/>
      </c>
      <c r="F18" s="5">
        <f>AVERAGE(Berkshire_quarterly!Q2:Q43)/(STDEV(Berkshire_quarterly!Q2:Q43)/SQRT(COUNT(Berkshire_quarterly!Q2:Q43)))</f>
        <v/>
      </c>
      <c r="G18" s="5">
        <f>COUNTIF(Berkshire_quarterly!Q2:Q43,"&gt;0")/COUNT(Berkshire_quarterly!Q2:Q43)*100</f>
        <v/>
      </c>
      <c r="H18" s="5">
        <f>SKEW(Berkshire_quarterly!Q2:Q43)</f>
        <v/>
      </c>
      <c r="I18" s="5">
        <f>AVERAGE(Berkshire_quarterly!Q2:Q43)/STDEV(Berkshire_quarterly!Q2:Q43)*SQRT(4)</f>
        <v/>
      </c>
      <c r="J18" s="5">
        <f>(EXP((4/COUNT(Berkshire_quarterly!Q2:Q43))*SUMPRODUCT(LN(1+Berkshire_quarterly!Q2:Q43)))-1)*100</f>
        <v/>
      </c>
      <c r="K18" s="5">
        <f>(EXP(SUMPRODUCT(LN(1+Berkshire_quarterly!Q2:Q43)))-1)*100</f>
        <v/>
      </c>
    </row>
    <row r="19">
      <c r="A19" t="inlineStr">
        <is>
          <t>idio</t>
        </is>
      </c>
      <c r="B19" t="inlineStr">
        <is>
          <t>lagged_perQ</t>
        </is>
      </c>
      <c r="C19" s="5">
        <f>COUNT(Berkshire_quarterly!AB2:AB43)</f>
        <v/>
      </c>
      <c r="D19" s="5">
        <f>AVERAGE(Berkshire_quarterly!AB2:AB43)*10000</f>
        <v/>
      </c>
      <c r="E19" s="5">
        <f>STDEV(Berkshire_quarterly!AB2:AB43)*10000</f>
        <v/>
      </c>
      <c r="F19" s="5">
        <f>AVERAGE(Berkshire_quarterly!AB2:AB43)/(STDEV(Berkshire_quarterly!AB2:AB43)/SQRT(COUNT(Berkshire_quarterly!AB2:AB43)))</f>
        <v/>
      </c>
      <c r="G19" s="5">
        <f>COUNTIF(Berkshire_quarterly!AB2:AB43,"&gt;0")/COUNT(Berkshire_quarterly!AB2:AB43)*100</f>
        <v/>
      </c>
      <c r="H19" s="5">
        <f>SKEW(Berkshire_quarterly!AB2:AB43)</f>
        <v/>
      </c>
      <c r="I19" s="5">
        <f>AVERAGE(Berkshire_quarterly!AB2:AB43)/STDEV(Berkshire_quarterly!AB2:AB43)*SQRT(4)</f>
        <v/>
      </c>
      <c r="J19" s="5">
        <f>(EXP((4/COUNT(Berkshire_quarterly!AB2:AB43))*SUMPRODUCT(LN(1+Berkshire_quarterly!AB2:AB43)))-1)*100</f>
        <v/>
      </c>
      <c r="K19" s="5">
        <f>(EXP(SUMPRODUCT(LN(1+Berkshire_quarterly!AB2:AB43)))-1)*100</f>
        <v/>
      </c>
    </row>
    <row r="20">
      <c r="A20" t="inlineStr">
        <is>
          <t>gross</t>
        </is>
      </c>
      <c r="B20" t="inlineStr">
        <is>
          <t>unlagged_fwdQ</t>
        </is>
      </c>
      <c r="C20" s="5">
        <f>COUNT(Berkshire_quarterly!G2:G43)</f>
        <v/>
      </c>
      <c r="D20" s="5">
        <f>AVERAGE(Berkshire_quarterly!G2:G43)*10000</f>
        <v/>
      </c>
      <c r="E20" s="5">
        <f>STDEV(Berkshire_quarterly!G2:G43)*10000</f>
        <v/>
      </c>
      <c r="F20" s="5">
        <f>AVERAGE(Berkshire_quarterly!G2:G43)/(STDEV(Berkshire_quarterly!G2:G43)/SQRT(COUNT(Berkshire_quarterly!G2:G43)))</f>
        <v/>
      </c>
      <c r="G20" s="5">
        <f>COUNTIF(Berkshire_quarterly!G2:G43,"&gt;0")/COUNT(Berkshire_quarterly!G2:G43)*100</f>
        <v/>
      </c>
      <c r="H20" s="5">
        <f>SKEW(Berkshire_quarterly!G2:G43)</f>
        <v/>
      </c>
      <c r="I20" s="5">
        <f>AVERAGE(Berkshire_quarterly!G2:G43)/STDEV(Berkshire_quarterly!G2:G43)*SQRT(4)</f>
        <v/>
      </c>
      <c r="J20" s="5">
        <f>(EXP((4/COUNT(Berkshire_quarterly!G2:G43))*SUMPRODUCT(LN(1+Berkshire_quarterly!G2:G43)))-1)*100</f>
        <v/>
      </c>
      <c r="K20" s="5">
        <f>(EXP(SUMPRODUCT(LN(1+Berkshire_quarterly!G2:G43)))-1)*100</f>
        <v/>
      </c>
    </row>
    <row r="21">
      <c r="A21" t="inlineStr">
        <is>
          <t>gross</t>
        </is>
      </c>
      <c r="B21" t="inlineStr">
        <is>
          <t>unlagged_lagtwin</t>
        </is>
      </c>
      <c r="C21" s="5">
        <f>COUNT(Berkshire_quarterly!M2:M43)</f>
        <v/>
      </c>
      <c r="D21" s="5">
        <f>AVERAGE(Berkshire_quarterly!M2:M43)*10000</f>
        <v/>
      </c>
      <c r="E21" s="5">
        <f>STDEV(Berkshire_quarterly!M2:M43)*10000</f>
        <v/>
      </c>
      <c r="F21" s="5">
        <f>AVERAGE(Berkshire_quarterly!M2:M43)/(STDEV(Berkshire_quarterly!M2:M43)/SQRT(COUNT(Berkshire_quarterly!M2:M43)))</f>
        <v/>
      </c>
      <c r="G21" s="5">
        <f>COUNTIF(Berkshire_quarterly!M2:M43,"&gt;0")/COUNT(Berkshire_quarterly!M2:M43)*100</f>
        <v/>
      </c>
      <c r="H21" s="5">
        <f>SKEW(Berkshire_quarterly!M2:M43)</f>
        <v/>
      </c>
      <c r="I21" s="5">
        <f>AVERAGE(Berkshire_quarterly!M2:M43)/STDEV(Berkshire_quarterly!M2:M43)*SQRT(4)</f>
        <v/>
      </c>
      <c r="J21" s="5">
        <f>(EXP((4/COUNT(Berkshire_quarterly!M2:M43))*SUMPRODUCT(LN(1+Berkshire_quarterly!M2:M43)))-1)*100</f>
        <v/>
      </c>
      <c r="K21" s="5">
        <f>(EXP(SUMPRODUCT(LN(1+Berkshire_quarterly!M2:M43)))-1)*100</f>
        <v/>
      </c>
    </row>
    <row r="22">
      <c r="A22" t="inlineStr">
        <is>
          <t>gross</t>
        </is>
      </c>
      <c r="B22" t="inlineStr">
        <is>
          <t>lagged_perQ</t>
        </is>
      </c>
      <c r="C22" s="5">
        <f>COUNT(Berkshire_quarterly!X2:X43)</f>
        <v/>
      </c>
      <c r="D22" s="5">
        <f>AVERAGE(Berkshire_quarterly!X2:X43)*10000</f>
        <v/>
      </c>
      <c r="E22" s="5">
        <f>STDEV(Berkshire_quarterly!X2:X43)*10000</f>
        <v/>
      </c>
      <c r="F22" s="5">
        <f>AVERAGE(Berkshire_quarterly!X2:X43)/(STDEV(Berkshire_quarterly!X2:X43)/SQRT(COUNT(Berkshire_quarterly!X2:X43)))</f>
        <v/>
      </c>
      <c r="G22" s="5">
        <f>COUNTIF(Berkshire_quarterly!X2:X43,"&gt;0")/COUNT(Berkshire_quarterly!X2:X43)*100</f>
        <v/>
      </c>
      <c r="H22" s="5">
        <f>SKEW(Berkshire_quarterly!X2:X43)</f>
        <v/>
      </c>
      <c r="I22" s="5">
        <f>AVERAGE(Berkshire_quarterly!X2:X43)/STDEV(Berkshire_quarterly!X2:X43)*SQRT(4)</f>
        <v/>
      </c>
      <c r="J22" s="5">
        <f>(EXP((4/COUNT(Berkshire_quarterly!X2:X43))*SUMPRODUCT(LN(1+Berkshire_quarterly!X2:X43)))-1)*100</f>
        <v/>
      </c>
      <c r="K22" s="5">
        <f>(EXP(SUMPRODUCT(LN(1+Berkshire_quarterly!X2:X43)))-1)*100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14" customWidth="1" min="3" max="3"/>
    <col width="14" customWidth="1" min="4" max="4"/>
    <col width="48" customWidth="1" min="5" max="5"/>
  </cols>
  <sheetData>
    <row r="1">
      <c r="A1" s="4" t="inlineStr">
        <is>
          <t>Step</t>
        </is>
      </c>
      <c r="B1" s="4" t="inlineStr">
        <is>
          <t>Description</t>
        </is>
      </c>
      <c r="C1" s="4" t="inlineStr">
        <is>
          <t>Sharpe</t>
        </is>
      </c>
      <c r="D1" s="4" t="inlineStr">
        <is>
          <t>Delta</t>
        </is>
      </c>
      <c r="E1" s="4" t="inlineStr">
        <is>
          <t>Cause</t>
        </is>
      </c>
    </row>
    <row r="2">
      <c r="A2" s="3" t="inlineStr">
        <is>
          <t>A</t>
        </is>
      </c>
      <c r="B2" t="inlineStr">
        <is>
          <t>Endpoint drop-idio (mkt+sec+subsec), ALL 46 quarters (get_filer_portfolio layer returns)</t>
        </is>
      </c>
      <c r="C2" t="n">
        <v>1.003</v>
      </c>
      <c r="D2" t="inlineStr"/>
      <c r="E2" t="inlineStr">
        <is>
          <t>the previously published 1.00</t>
        </is>
      </c>
    </row>
    <row r="3">
      <c r="A3" s="3" t="inlineStr">
        <is>
          <t>B</t>
        </is>
      </c>
      <c r="B3" t="inlineStr">
        <is>
          <t>Endpoint drop-idio, restricted to the 42 rebuildable teos</t>
        </is>
      </c>
      <c r="C3" t="n">
        <v>0.911</v>
      </c>
      <c r="D3" t="n">
        <v>-0.092</v>
      </c>
      <c r="E3" t="inlineStr">
        <is>
          <t>SAMPLE — the 4 dropped rows are not Berkshire's book (below)</t>
        </is>
      </c>
    </row>
    <row r="4">
      <c r="A4" s="3" t="inlineStr">
        <is>
          <t>C</t>
        </is>
      </c>
      <c r="B4" t="inlineStr">
        <is>
          <t>Daily rebuild drop-idio, same teos, teo-&gt;teo+3mo windows</t>
        </is>
      </c>
      <c r="C4" t="n">
        <v>0.9330000000000001</v>
      </c>
      <c r="D4" t="n">
        <v>0.021</v>
      </c>
      <c r="E4" t="inlineStr">
        <is>
          <t>METHOD (rebuild uses actual prices; endpoint returns a model-implied gross)</t>
        </is>
      </c>
    </row>
    <row r="5">
      <c r="A5" t="inlineStr">
        <is>
          <t>D</t>
        </is>
      </c>
      <c r="B5" t="inlineStr">
        <is>
          <t>Daily rebuild drop-idio, LAGGED windows (entry = teo+45 calendar days)</t>
        </is>
      </c>
      <c r="C5" t="n">
        <v>1.066</v>
      </c>
      <c r="D5" t="n">
        <v>0.133</v>
      </c>
      <c r="E5" t="inlineStr">
        <is>
          <t>the lag itself — the edge survives it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WHY THE 4 ROWS ARE DROPPED</t>
        </is>
      </c>
      <c r="B7" t="inlineStr"/>
      <c r="C7" t="inlineStr"/>
      <c r="D7" t="inlineStr"/>
      <c r="E7" t="inlineStr"/>
    </row>
    <row r="8">
      <c r="A8" t="inlineStr">
        <is>
          <t xml:space="preserve">  3 stub rows</t>
        </is>
      </c>
      <c r="B8" t="inlineStr">
        <is>
          <t>2014-09-30, 2020-09-30, 2025-03-31 — each row describes a 1-2 NAME portfolio holding 0.001%-0.8% of the AUM the neighbouring quarters report. No holdings book matches them because there is no full book behind them. They are not 'unverifiable Berkshire quarters'; they are a different, tiny portfolio.</t>
        </is>
      </c>
      <c r="C8" t="inlineStr"/>
      <c r="D8" t="inlineStr"/>
      <c r="E8" t="inlineStr"/>
    </row>
    <row r="9">
      <c r="A9" t="inlineStr">
        <is>
          <t xml:space="preserve">  1 terminal row</t>
        </is>
      </c>
      <c r="B9" t="inlineStr">
        <is>
          <t>2025-12-31 — the LAST row of the portfolio series carries a forward return measured over an open-ended window (teo -&gt; the engine's data horizon), not one quarter. Its portfolio_market_return sits 1242 bps from SPY over its own forward quarter, ~21x the filer's typical deviation.</t>
        </is>
      </c>
      <c r="C9" t="inlineStr"/>
      <c r="D9" t="inlineStr"/>
      <c r="E9" t="inlineStr"/>
    </row>
    <row r="10">
      <c r="A10" t="inlineStr">
        <is>
          <t xml:space="preserve">  their drop-idio mean</t>
        </is>
      </c>
      <c r="B10" t="inlineStr">
        <is>
          <t>837 bps/q vs 372 bps/q for the 42 kept — that gap is the whole A-&gt;B step</t>
        </is>
      </c>
      <c r="C10" t="inlineStr"/>
      <c r="D10" t="inlineStr"/>
      <c r="E10">
        <f> why 1.003 was inflated</f>
        <v/>
      </c>
    </row>
    <row r="11">
      <c r="A11" t="inlineStr"/>
      <c r="B11" t="inlineStr"/>
      <c r="C11" t="inlineStr"/>
      <c r="D11" t="inlineStr"/>
      <c r="E11" t="inlineStr"/>
    </row>
    <row r="12">
      <c r="A12" s="3" t="inlineStr">
        <is>
          <t>VERDICT</t>
        </is>
      </c>
      <c r="B12" t="inlineStr">
        <is>
          <t>Do NOT quote 1.00. It is contaminated, not merely sample-selected. On a consistent sample the endpoint gives 0.91 and the independent daily rebuild 0.93; the +0.02 gap between them is the known rebuild-rich bias, not agreement. Quote a RANGE (0.91-0.93) with the sample stated, and never a single decimal.</t>
        </is>
      </c>
      <c r="C12" t="inlineStr"/>
      <c r="D12" t="inlineStr"/>
      <c r="E12" t="inlineStr"/>
    </row>
    <row r="13">
      <c r="A13" t="inlineStr">
        <is>
          <t>FINDING</t>
        </is>
      </c>
      <c r="B13" t="inlineStr">
        <is>
          <t>Drop-idio beats the gross book on the same sample and SURVIVES the lag (0.93 unlagged -&gt; 1.07 lagged). That comparison is internal to one method and is the robust part; the absolute level is not.</t>
        </is>
      </c>
      <c r="C13" t="inlineStr"/>
      <c r="D13" t="inlineStr"/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3" t="inlineStr">
        <is>
          <t>Hit rate / skew — every layer, lagged &amp; unlagged (per-quarter normalised). CORRECTS meeting note: L1/market hit = 83% unlagged, NOT 65%. 65% was sector+subsector.</t>
        </is>
      </c>
    </row>
    <row r="3">
      <c r="A3" s="4" t="inlineStr">
        <is>
          <t>basis</t>
        </is>
      </c>
      <c r="B3" s="4" t="inlineStr">
        <is>
          <t>layer</t>
        </is>
      </c>
      <c r="C3" s="4" t="inlineStr">
        <is>
          <t>n</t>
        </is>
      </c>
      <c r="D3" s="4" t="inlineStr">
        <is>
          <t>hit_%</t>
        </is>
      </c>
      <c r="E3" s="4" t="inlineStr">
        <is>
          <t>binom_p</t>
        </is>
      </c>
      <c r="F3" s="4" t="inlineStr">
        <is>
          <t>mean_win_bps</t>
        </is>
      </c>
      <c r="G3" s="4" t="inlineStr">
        <is>
          <t>mean_loss_bps</t>
        </is>
      </c>
      <c r="H3" s="4" t="inlineStr">
        <is>
          <t>win/loss</t>
        </is>
      </c>
      <c r="I3" s="4" t="inlineStr">
        <is>
          <t>skew</t>
        </is>
      </c>
      <c r="J3" s="4" t="inlineStr">
        <is>
          <t>worst_bps</t>
        </is>
      </c>
      <c r="K3" s="4" t="inlineStr">
        <is>
          <t>best_bps</t>
        </is>
      </c>
      <c r="L3" s="4" t="inlineStr">
        <is>
          <t>longest_loss_run</t>
        </is>
      </c>
    </row>
    <row r="4">
      <c r="A4" t="inlineStr">
        <is>
          <t>UNLAGGED</t>
        </is>
      </c>
      <c r="B4" t="inlineStr">
        <is>
          <t>market</t>
        </is>
      </c>
      <c r="C4" t="n">
        <v>42</v>
      </c>
      <c r="D4" t="n">
        <v>81</v>
      </c>
      <c r="E4" t="n">
        <v>0</v>
      </c>
      <c r="F4" t="n">
        <v>603</v>
      </c>
      <c r="G4" t="n">
        <v>-958</v>
      </c>
      <c r="H4" t="n">
        <v>0.63</v>
      </c>
      <c r="I4" t="n">
        <v>-1.19</v>
      </c>
      <c r="J4" t="n">
        <v>-2527</v>
      </c>
      <c r="K4" t="n">
        <v>2221</v>
      </c>
      <c r="L4" t="n">
        <v>3</v>
      </c>
    </row>
    <row r="5">
      <c r="A5" t="inlineStr">
        <is>
          <t>UNLAGGED</t>
        </is>
      </c>
      <c r="B5" t="inlineStr">
        <is>
          <t>sector</t>
        </is>
      </c>
      <c r="C5" t="n">
        <v>42</v>
      </c>
      <c r="D5" t="n">
        <v>64</v>
      </c>
      <c r="E5" t="n">
        <v>0.08799999999999999</v>
      </c>
      <c r="F5" t="n">
        <v>131</v>
      </c>
      <c r="G5" t="n">
        <v>-92</v>
      </c>
      <c r="H5" t="n">
        <v>1.43</v>
      </c>
      <c r="I5" t="n">
        <v>1.93</v>
      </c>
      <c r="J5" t="n">
        <v>-393</v>
      </c>
      <c r="K5" t="n">
        <v>852</v>
      </c>
      <c r="L5" t="n">
        <v>2</v>
      </c>
    </row>
    <row r="6">
      <c r="A6" t="inlineStr">
        <is>
          <t>UNLAGGED</t>
        </is>
      </c>
      <c r="B6" t="inlineStr">
        <is>
          <t>subsector</t>
        </is>
      </c>
      <c r="C6" t="n">
        <v>42</v>
      </c>
      <c r="D6" t="n">
        <v>55</v>
      </c>
      <c r="E6" t="n">
        <v>0.644</v>
      </c>
      <c r="F6" t="n">
        <v>82</v>
      </c>
      <c r="G6" t="n">
        <v>-52</v>
      </c>
      <c r="H6" t="n">
        <v>1.57</v>
      </c>
      <c r="I6" t="n">
        <v>0.74</v>
      </c>
      <c r="J6" t="n">
        <v>-147</v>
      </c>
      <c r="K6" t="n">
        <v>295</v>
      </c>
      <c r="L6" t="n">
        <v>3</v>
      </c>
    </row>
    <row r="7">
      <c r="A7" s="3" t="inlineStr">
        <is>
          <t>UNLAGGED</t>
        </is>
      </c>
      <c r="B7" s="3" t="inlineStr">
        <is>
          <t>sector+subsector</t>
        </is>
      </c>
      <c r="C7" s="3" t="n">
        <v>42</v>
      </c>
      <c r="D7" s="3" t="n">
        <v>64</v>
      </c>
      <c r="E7" s="3" t="n">
        <v>0.08799999999999999</v>
      </c>
      <c r="F7" s="3" t="n">
        <v>170</v>
      </c>
      <c r="G7" s="3" t="n">
        <v>-101</v>
      </c>
      <c r="H7" s="3" t="n">
        <v>1.67</v>
      </c>
      <c r="I7" s="3" t="n">
        <v>1.96</v>
      </c>
      <c r="J7" s="3" t="n">
        <v>-478</v>
      </c>
      <c r="K7" s="3" t="n">
        <v>1076</v>
      </c>
      <c r="L7" s="3" t="n">
        <v>5</v>
      </c>
    </row>
    <row r="8">
      <c r="A8" s="3" t="inlineStr">
        <is>
          <t>UNLAGGED</t>
        </is>
      </c>
      <c r="B8" s="3" t="inlineStr">
        <is>
          <t>mkt+sec+subsec</t>
        </is>
      </c>
      <c r="C8" s="3" t="n">
        <v>42</v>
      </c>
      <c r="D8" s="3" t="n">
        <v>81</v>
      </c>
      <c r="E8" s="3" t="n">
        <v>0</v>
      </c>
      <c r="F8" s="3" t="n">
        <v>664</v>
      </c>
      <c r="G8" s="3" t="n">
        <v>-834</v>
      </c>
      <c r="H8" s="3" t="n">
        <v>0.8</v>
      </c>
      <c r="I8" s="3" t="n">
        <v>-0.41</v>
      </c>
      <c r="J8" s="3" t="n">
        <v>-1737</v>
      </c>
      <c r="K8" s="3" t="n">
        <v>2470</v>
      </c>
      <c r="L8" s="3" t="n">
        <v>3</v>
      </c>
    </row>
    <row r="9">
      <c r="A9" t="inlineStr">
        <is>
          <t>UNLAGGED</t>
        </is>
      </c>
      <c r="B9" t="inlineStr">
        <is>
          <t>idio</t>
        </is>
      </c>
      <c r="C9" t="n">
        <v>42</v>
      </c>
      <c r="D9" t="n">
        <v>52</v>
      </c>
      <c r="E9" t="n">
        <v>0.878</v>
      </c>
      <c r="F9" t="n">
        <v>320</v>
      </c>
      <c r="G9" t="n">
        <v>-254</v>
      </c>
      <c r="H9" t="n">
        <v>1.26</v>
      </c>
      <c r="I9" t="n">
        <v>0.14</v>
      </c>
      <c r="J9" t="n">
        <v>-614</v>
      </c>
      <c r="K9" t="n">
        <v>852</v>
      </c>
      <c r="L9" t="n">
        <v>6</v>
      </c>
    </row>
    <row r="10">
      <c r="A10" t="inlineStr">
        <is>
          <t>UNLAGGED</t>
        </is>
      </c>
      <c r="B10" t="inlineStr">
        <is>
          <t>gross</t>
        </is>
      </c>
      <c r="C10" t="n">
        <v>42</v>
      </c>
      <c r="D10" t="n">
        <v>71</v>
      </c>
      <c r="E10" t="n">
        <v>0.008</v>
      </c>
      <c r="F10" t="n">
        <v>922</v>
      </c>
      <c r="G10" t="n">
        <v>-735</v>
      </c>
      <c r="H10" t="n">
        <v>1.26</v>
      </c>
      <c r="I10" t="n">
        <v>-0.35</v>
      </c>
      <c r="J10" t="n">
        <v>-1937</v>
      </c>
      <c r="K10" t="n">
        <v>2933</v>
      </c>
      <c r="L10" t="n">
        <v>2</v>
      </c>
    </row>
    <row r="12">
      <c r="A12" t="inlineStr">
        <is>
          <t>LAGGED</t>
        </is>
      </c>
      <c r="B12" t="inlineStr">
        <is>
          <t>market</t>
        </is>
      </c>
      <c r="C12" t="n">
        <v>42</v>
      </c>
      <c r="D12" t="n">
        <v>79</v>
      </c>
      <c r="E12" t="n">
        <v>0</v>
      </c>
      <c r="F12" t="n">
        <v>562</v>
      </c>
      <c r="G12" t="n">
        <v>-638</v>
      </c>
      <c r="H12" t="n">
        <v>0.88</v>
      </c>
      <c r="I12" t="n">
        <v>-0.99</v>
      </c>
      <c r="J12" t="n">
        <v>-2092</v>
      </c>
      <c r="K12" t="n">
        <v>2016</v>
      </c>
      <c r="L12" t="n">
        <v>2</v>
      </c>
    </row>
    <row r="13">
      <c r="A13" t="inlineStr">
        <is>
          <t>LAGGED</t>
        </is>
      </c>
      <c r="B13" t="inlineStr">
        <is>
          <t>sector</t>
        </is>
      </c>
      <c r="C13" t="n">
        <v>42</v>
      </c>
      <c r="D13" t="n">
        <v>62</v>
      </c>
      <c r="E13" t="n">
        <v>0.164</v>
      </c>
      <c r="F13" t="n">
        <v>134</v>
      </c>
      <c r="G13" t="n">
        <v>-118</v>
      </c>
      <c r="H13" t="n">
        <v>1.14</v>
      </c>
      <c r="I13" t="n">
        <v>-0.79</v>
      </c>
      <c r="J13" t="n">
        <v>-683</v>
      </c>
      <c r="K13" t="n">
        <v>589</v>
      </c>
      <c r="L13" t="n">
        <v>5</v>
      </c>
    </row>
    <row r="14">
      <c r="A14" t="inlineStr">
        <is>
          <t>LAGGED</t>
        </is>
      </c>
      <c r="B14" t="inlineStr">
        <is>
          <t>subsector</t>
        </is>
      </c>
      <c r="C14" t="n">
        <v>42</v>
      </c>
      <c r="D14" t="n">
        <v>57</v>
      </c>
      <c r="E14" t="n">
        <v>0.441</v>
      </c>
      <c r="F14" t="n">
        <v>71</v>
      </c>
      <c r="G14" t="n">
        <v>-60</v>
      </c>
      <c r="H14" t="n">
        <v>1.18</v>
      </c>
      <c r="I14" t="n">
        <v>0.71</v>
      </c>
      <c r="J14" t="n">
        <v>-249</v>
      </c>
      <c r="K14" t="n">
        <v>372</v>
      </c>
      <c r="L14" t="n">
        <v>3</v>
      </c>
    </row>
    <row r="15">
      <c r="A15" s="3" t="inlineStr">
        <is>
          <t>LAGGED</t>
        </is>
      </c>
      <c r="B15" s="3" t="inlineStr">
        <is>
          <t>sector+subsector</t>
        </is>
      </c>
      <c r="C15" s="3" t="n">
        <v>42</v>
      </c>
      <c r="D15" s="3" t="n">
        <v>57</v>
      </c>
      <c r="E15" s="3" t="n">
        <v>0.441</v>
      </c>
      <c r="F15" s="3" t="n">
        <v>186</v>
      </c>
      <c r="G15" s="3" t="n">
        <v>-124</v>
      </c>
      <c r="H15" s="3" t="n">
        <v>1.5</v>
      </c>
      <c r="I15" s="3" t="n">
        <v>0.6899999999999999</v>
      </c>
      <c r="J15" s="3" t="n">
        <v>-508</v>
      </c>
      <c r="K15" s="3" t="n">
        <v>721</v>
      </c>
      <c r="L15" s="3" t="n">
        <v>3</v>
      </c>
    </row>
    <row r="16">
      <c r="A16" s="3" t="inlineStr">
        <is>
          <t>LAGGED</t>
        </is>
      </c>
      <c r="B16" s="3" t="inlineStr">
        <is>
          <t>mkt+sec+subsec</t>
        </is>
      </c>
      <c r="C16" s="3" t="n">
        <v>42</v>
      </c>
      <c r="D16" s="3" t="n">
        <v>81</v>
      </c>
      <c r="E16" s="3" t="n">
        <v>0</v>
      </c>
      <c r="F16" s="3" t="n">
        <v>590</v>
      </c>
      <c r="G16" s="3" t="n">
        <v>-631</v>
      </c>
      <c r="H16" s="3" t="n">
        <v>0.9399999999999999</v>
      </c>
      <c r="I16" s="3" t="n">
        <v>-0.33</v>
      </c>
      <c r="J16" s="3" t="n">
        <v>-1371</v>
      </c>
      <c r="K16" s="3" t="n">
        <v>2199</v>
      </c>
      <c r="L16" s="3" t="n">
        <v>2</v>
      </c>
    </row>
    <row r="17">
      <c r="A17" t="inlineStr">
        <is>
          <t>LAGGED</t>
        </is>
      </c>
      <c r="B17" t="inlineStr">
        <is>
          <t>idio</t>
        </is>
      </c>
      <c r="C17" t="n">
        <v>42</v>
      </c>
      <c r="D17" t="n">
        <v>48</v>
      </c>
      <c r="E17" t="n">
        <v>0.878</v>
      </c>
      <c r="F17" t="n">
        <v>392</v>
      </c>
      <c r="G17" t="n">
        <v>-264</v>
      </c>
      <c r="H17" t="n">
        <v>1.49</v>
      </c>
      <c r="I17" t="n">
        <v>1.04</v>
      </c>
      <c r="J17" t="n">
        <v>-539</v>
      </c>
      <c r="K17" t="n">
        <v>1246</v>
      </c>
      <c r="L17" t="n">
        <v>5</v>
      </c>
    </row>
    <row r="18">
      <c r="A18" t="inlineStr">
        <is>
          <t>LAGGED</t>
        </is>
      </c>
      <c r="B18" t="inlineStr">
        <is>
          <t>gross</t>
        </is>
      </c>
      <c r="C18" t="n">
        <v>42</v>
      </c>
      <c r="D18" t="n">
        <v>76</v>
      </c>
      <c r="E18" t="n">
        <v>0.001</v>
      </c>
      <c r="F18" t="n">
        <v>731</v>
      </c>
      <c r="G18" t="n">
        <v>-607</v>
      </c>
      <c r="H18" t="n">
        <v>1.2</v>
      </c>
      <c r="I18" t="n">
        <v>0.62</v>
      </c>
      <c r="J18" t="n">
        <v>-1770</v>
      </c>
      <c r="K18" t="n">
        <v>3562</v>
      </c>
      <c r="L18" t="n">
        <v>2</v>
      </c>
    </row>
    <row r="21">
      <c r="A21" s="3" t="inlineStr">
        <is>
          <t>READ: sector+subsector has POSITIVE skew (+1.95 unlagged / +0.74 lagged) and win/loss&gt;1 — wins more frequent AND larger. The 'frequent small wins, rare large losses' (negative-skew) pattern belongs to the MARKET layer (skew -1.21, win/loss 0.55), not the factor premium.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</cols>
  <sheetData>
    <row r="1">
      <c r="A1" s="3" t="inlineStr">
        <is>
          <t>Lag = filing_date - teo (days). Per-filer summary (raw vs ORIGINAL-filtered), then per-teo detail.</t>
        </is>
      </c>
    </row>
    <row r="2">
      <c r="A2" s="6" t="inlineStr">
        <is>
          <t>Filing dates are 63-68% EXACTLY 45 across four independent filers -&gt; largely a report_date+45 placeholder, not observed. search metadata flags filing_date_source='placeholder_lag_75d' (a different +75 default we do NOT use). Neither portfolio nor holdings response carries the flag.</t>
        </is>
      </c>
    </row>
    <row r="4">
      <c r="A4" s="4" t="inlineStr">
        <is>
          <t>filer</t>
        </is>
      </c>
      <c r="B4" s="4" t="inlineStr">
        <is>
          <t>raw_n</t>
        </is>
      </c>
      <c r="C4" s="4" t="inlineStr">
        <is>
          <t>raw_median</t>
        </is>
      </c>
      <c r="D4" s="4" t="inlineStr">
        <is>
          <t>raw_max</t>
        </is>
      </c>
      <c r="E4" s="4" t="inlineStr">
        <is>
          <t>%_exactly_45</t>
        </is>
      </c>
      <c r="F4" s="4" t="inlineStr">
        <is>
          <t>ORIG_n</t>
        </is>
      </c>
      <c r="G4" s="4" t="inlineStr">
        <is>
          <t>ORIG_p25</t>
        </is>
      </c>
      <c r="H4" s="4" t="inlineStr">
        <is>
          <t>ORIG_median</t>
        </is>
      </c>
      <c r="I4" s="4" t="inlineStr">
        <is>
          <t>ORIG_p75</t>
        </is>
      </c>
      <c r="J4" s="4" t="inlineStr">
        <is>
          <t>ORIG_max</t>
        </is>
      </c>
    </row>
    <row r="5">
      <c r="A5" t="inlineStr">
        <is>
          <t>Berkshire</t>
        </is>
      </c>
      <c r="B5" t="n">
        <v>50</v>
      </c>
      <c r="C5" t="n">
        <v>45</v>
      </c>
      <c r="D5" t="n">
        <v>228</v>
      </c>
      <c r="E5" t="n">
        <v>64</v>
      </c>
      <c r="F5" t="inlineStr">
        <is>
          <t>not recomputed (holdings not cached)</t>
        </is>
      </c>
      <c r="G5" t="inlineStr"/>
      <c r="H5" t="inlineStr"/>
      <c r="I5" t="inlineStr"/>
      <c r="J5" t="inlineStr"/>
    </row>
    <row r="6">
      <c r="A6" t="inlineStr">
        <is>
          <t>Pershing</t>
        </is>
      </c>
      <c r="B6" t="n">
        <v>81</v>
      </c>
      <c r="C6" t="n">
        <v>45</v>
      </c>
      <c r="D6" t="n">
        <v>168</v>
      </c>
      <c r="E6" t="n">
        <v>63</v>
      </c>
      <c r="F6" t="inlineStr">
        <is>
          <t>not recomputed (holdings not cached)</t>
        </is>
      </c>
      <c r="G6" t="inlineStr"/>
      <c r="H6" t="inlineStr"/>
      <c r="I6" t="inlineStr"/>
      <c r="J6" t="inlineStr"/>
    </row>
    <row r="7">
      <c r="A7" t="inlineStr">
        <is>
          <t>Appaloosa</t>
        </is>
      </c>
      <c r="B7" t="n">
        <v>41</v>
      </c>
      <c r="C7" t="n">
        <v>45</v>
      </c>
      <c r="D7" t="n">
        <v>48</v>
      </c>
      <c r="E7" t="n">
        <v>68</v>
      </c>
      <c r="F7" t="inlineStr">
        <is>
          <t>not recomputed (holdings not cached)</t>
        </is>
      </c>
      <c r="G7" t="inlineStr"/>
      <c r="H7" t="inlineStr"/>
      <c r="I7" t="inlineStr"/>
      <c r="J7" t="inlineStr"/>
    </row>
    <row r="8">
      <c r="A8" t="inlineStr">
        <is>
          <t>Greenlight</t>
        </is>
      </c>
      <c r="B8" t="n">
        <v>73</v>
      </c>
      <c r="C8" t="n">
        <v>45</v>
      </c>
      <c r="D8" t="n">
        <v>114</v>
      </c>
      <c r="E8" t="n">
        <v>67</v>
      </c>
      <c r="F8" t="inlineStr">
        <is>
          <t>not recomputed (holdings not cached)</t>
        </is>
      </c>
      <c r="G8" t="inlineStr"/>
      <c r="H8" t="inlineStr"/>
      <c r="I8" t="inlineStr"/>
      <c r="J8" t="inlineStr"/>
    </row>
    <row r="9">
      <c r="A9" t="inlineStr">
        <is>
          <t>DEShaw</t>
        </is>
      </c>
      <c r="B9" t="n">
        <v>81</v>
      </c>
      <c r="C9" t="n">
        <v>45</v>
      </c>
      <c r="D9" t="n">
        <v>319</v>
      </c>
      <c r="E9" t="n">
        <v>65</v>
      </c>
      <c r="F9" t="n">
        <v>72</v>
      </c>
      <c r="G9" t="n">
        <v>45</v>
      </c>
      <c r="H9" t="n">
        <v>45</v>
      </c>
      <c r="I9" t="n">
        <v>46</v>
      </c>
      <c r="J9" t="n">
        <v>48</v>
      </c>
    </row>
    <row r="12">
      <c r="A12" s="3" t="inlineStr">
        <is>
          <t>PER-TEO DETAIL (portfolio endpoint filing_date; is_original heuristic: lag&lt;=90 &amp; not a known amendment)</t>
        </is>
      </c>
    </row>
    <row r="13">
      <c r="A13" s="4" t="inlineStr">
        <is>
          <t>filer</t>
        </is>
      </c>
      <c r="B13" s="4" t="inlineStr">
        <is>
          <t>teo(report_date)</t>
        </is>
      </c>
      <c r="C13" s="4" t="inlineStr">
        <is>
          <t>filing_date</t>
        </is>
      </c>
      <c r="D13" s="4" t="inlineStr">
        <is>
          <t>lag_days</t>
        </is>
      </c>
      <c r="E13" s="4" t="inlineStr">
        <is>
          <t>exact_45?</t>
        </is>
      </c>
      <c r="F13" s="4" t="inlineStr">
        <is>
          <t>is_original(heuristic)</t>
        </is>
      </c>
    </row>
    <row r="14">
      <c r="A14" t="inlineStr">
        <is>
          <t>Berkshire</t>
        </is>
      </c>
      <c r="B14" t="inlineStr">
        <is>
          <t>2013-06-30</t>
        </is>
      </c>
      <c r="C14" t="inlineStr">
        <is>
          <t>2013-11-14</t>
        </is>
      </c>
      <c r="D14" t="n">
        <v>137</v>
      </c>
      <c r="E14" t="inlineStr"/>
      <c r="F14" t="inlineStr">
        <is>
          <t>AMENDMENT?</t>
        </is>
      </c>
    </row>
    <row r="15">
      <c r="A15" t="inlineStr">
        <is>
          <t>Berkshire</t>
        </is>
      </c>
      <c r="B15" t="inlineStr">
        <is>
          <t>2013-09-30</t>
        </is>
      </c>
      <c r="C15" t="inlineStr">
        <is>
          <t>2013-11-14</t>
        </is>
      </c>
      <c r="D15" t="n">
        <v>45</v>
      </c>
      <c r="E15" t="inlineStr">
        <is>
          <t>YES</t>
        </is>
      </c>
      <c r="F15" t="inlineStr">
        <is>
          <t>ORIGINAL</t>
        </is>
      </c>
    </row>
    <row r="16">
      <c r="A16" t="inlineStr">
        <is>
          <t>Berkshire</t>
        </is>
      </c>
      <c r="B16" t="inlineStr">
        <is>
          <t>2013-12-31</t>
        </is>
      </c>
      <c r="C16" t="inlineStr">
        <is>
          <t>2014-02-14</t>
        </is>
      </c>
      <c r="D16" t="n">
        <v>45</v>
      </c>
      <c r="E16" t="inlineStr">
        <is>
          <t>YES</t>
        </is>
      </c>
      <c r="F16" t="inlineStr">
        <is>
          <t>ORIGINAL</t>
        </is>
      </c>
    </row>
    <row r="17">
      <c r="A17" t="inlineStr">
        <is>
          <t>Berkshire</t>
        </is>
      </c>
      <c r="B17" t="inlineStr">
        <is>
          <t>2014-03-31</t>
        </is>
      </c>
      <c r="C17" t="inlineStr">
        <is>
          <t>2014-05-15</t>
        </is>
      </c>
      <c r="D17" t="n">
        <v>45</v>
      </c>
      <c r="E17" t="inlineStr">
        <is>
          <t>YES</t>
        </is>
      </c>
      <c r="F17" t="inlineStr">
        <is>
          <t>ORIGINAL</t>
        </is>
      </c>
    </row>
    <row r="18">
      <c r="A18" t="inlineStr">
        <is>
          <t>Berkshire</t>
        </is>
      </c>
      <c r="B18" t="inlineStr">
        <is>
          <t>2014-06-30</t>
        </is>
      </c>
      <c r="C18" t="inlineStr">
        <is>
          <t>2014-08-14</t>
        </is>
      </c>
      <c r="D18" t="n">
        <v>45</v>
      </c>
      <c r="E18" t="inlineStr">
        <is>
          <t>YES</t>
        </is>
      </c>
      <c r="F18" t="inlineStr">
        <is>
          <t>ORIGINAL</t>
        </is>
      </c>
    </row>
    <row r="19">
      <c r="A19" t="inlineStr">
        <is>
          <t>Berkshire</t>
        </is>
      </c>
      <c r="B19" t="inlineStr">
        <is>
          <t>2014-09-30</t>
        </is>
      </c>
      <c r="C19" t="inlineStr">
        <is>
          <t>2015-02-17</t>
        </is>
      </c>
      <c r="D19" t="n">
        <v>140</v>
      </c>
      <c r="E19" t="inlineStr"/>
      <c r="F19" t="inlineStr">
        <is>
          <t>AMENDMENT?</t>
        </is>
      </c>
    </row>
    <row r="20">
      <c r="A20" t="inlineStr">
        <is>
          <t>Berkshire</t>
        </is>
      </c>
      <c r="B20" t="inlineStr">
        <is>
          <t>2014-12-31</t>
        </is>
      </c>
      <c r="C20" t="inlineStr">
        <is>
          <t>2015-02-17</t>
        </is>
      </c>
      <c r="D20" t="n">
        <v>48</v>
      </c>
      <c r="E20" t="inlineStr"/>
      <c r="F20" t="inlineStr">
        <is>
          <t>ORIGINAL</t>
        </is>
      </c>
    </row>
    <row r="21">
      <c r="A21" t="inlineStr">
        <is>
          <t>Berkshire</t>
        </is>
      </c>
      <c r="B21" t="inlineStr">
        <is>
          <t>2015-03-31</t>
        </is>
      </c>
      <c r="C21" t="inlineStr">
        <is>
          <t>2015-05-15</t>
        </is>
      </c>
      <c r="D21" t="n">
        <v>45</v>
      </c>
      <c r="E21" t="inlineStr">
        <is>
          <t>YES</t>
        </is>
      </c>
      <c r="F21" t="inlineStr">
        <is>
          <t>ORIGINAL</t>
        </is>
      </c>
    </row>
    <row r="22">
      <c r="A22" t="inlineStr">
        <is>
          <t>Berkshire</t>
        </is>
      </c>
      <c r="B22" t="inlineStr">
        <is>
          <t>2015-06-30</t>
        </is>
      </c>
      <c r="C22" t="inlineStr">
        <is>
          <t>2015-09-04</t>
        </is>
      </c>
      <c r="D22" t="n">
        <v>66</v>
      </c>
      <c r="E22" t="inlineStr"/>
      <c r="F22" t="inlineStr">
        <is>
          <t>ORIGINAL</t>
        </is>
      </c>
    </row>
    <row r="23">
      <c r="A23" t="inlineStr">
        <is>
          <t>Berkshire</t>
        </is>
      </c>
      <c r="B23" t="inlineStr">
        <is>
          <t>2015-09-30</t>
        </is>
      </c>
      <c r="C23" t="inlineStr">
        <is>
          <t>2015-11-16</t>
        </is>
      </c>
      <c r="D23" t="n">
        <v>47</v>
      </c>
      <c r="E23" t="inlineStr"/>
      <c r="F23" t="inlineStr">
        <is>
          <t>ORIGINAL</t>
        </is>
      </c>
    </row>
    <row r="24">
      <c r="A24" t="inlineStr">
        <is>
          <t>Berkshire</t>
        </is>
      </c>
      <c r="B24" t="inlineStr">
        <is>
          <t>2015-12-31</t>
        </is>
      </c>
      <c r="C24" t="inlineStr">
        <is>
          <t>2016-02-16</t>
        </is>
      </c>
      <c r="D24" t="n">
        <v>47</v>
      </c>
      <c r="E24" t="inlineStr"/>
      <c r="F24" t="inlineStr">
        <is>
          <t>ORIGINAL</t>
        </is>
      </c>
    </row>
    <row r="25">
      <c r="A25" t="inlineStr">
        <is>
          <t>Berkshire</t>
        </is>
      </c>
      <c r="B25" t="inlineStr">
        <is>
          <t>2016-03-31</t>
        </is>
      </c>
      <c r="C25" t="inlineStr">
        <is>
          <t>2016-05-16</t>
        </is>
      </c>
      <c r="D25" t="n">
        <v>46</v>
      </c>
      <c r="E25" t="inlineStr"/>
      <c r="F25" t="inlineStr">
        <is>
          <t>ORIGINAL</t>
        </is>
      </c>
    </row>
    <row r="26">
      <c r="A26" t="inlineStr">
        <is>
          <t>Berkshire</t>
        </is>
      </c>
      <c r="B26" t="inlineStr">
        <is>
          <t>2016-06-30</t>
        </is>
      </c>
      <c r="C26" t="inlineStr">
        <is>
          <t>2016-08-15</t>
        </is>
      </c>
      <c r="D26" t="n">
        <v>46</v>
      </c>
      <c r="E26" t="inlineStr"/>
      <c r="F26" t="inlineStr">
        <is>
          <t>ORIGINAL</t>
        </is>
      </c>
    </row>
    <row r="27">
      <c r="A27" t="inlineStr">
        <is>
          <t>Berkshire</t>
        </is>
      </c>
      <c r="B27" t="inlineStr">
        <is>
          <t>2016-09-30</t>
        </is>
      </c>
      <c r="C27" t="inlineStr">
        <is>
          <t>2016-11-14</t>
        </is>
      </c>
      <c r="D27" t="n">
        <v>45</v>
      </c>
      <c r="E27" t="inlineStr">
        <is>
          <t>YES</t>
        </is>
      </c>
      <c r="F27" t="inlineStr">
        <is>
          <t>ORIGINAL</t>
        </is>
      </c>
    </row>
    <row r="28">
      <c r="A28" t="inlineStr">
        <is>
          <t>Berkshire</t>
        </is>
      </c>
      <c r="B28" t="inlineStr">
        <is>
          <t>2016-12-31</t>
        </is>
      </c>
      <c r="C28" t="inlineStr">
        <is>
          <t>2017-02-14</t>
        </is>
      </c>
      <c r="D28" t="n">
        <v>45</v>
      </c>
      <c r="E28" t="inlineStr">
        <is>
          <t>YES</t>
        </is>
      </c>
      <c r="F28" t="inlineStr">
        <is>
          <t>ORIGINAL</t>
        </is>
      </c>
    </row>
    <row r="29">
      <c r="A29" t="inlineStr">
        <is>
          <t>Berkshire</t>
        </is>
      </c>
      <c r="B29" t="inlineStr">
        <is>
          <t>2017-03-31</t>
        </is>
      </c>
      <c r="C29" t="inlineStr">
        <is>
          <t>2017-05-15</t>
        </is>
      </c>
      <c r="D29" t="n">
        <v>45</v>
      </c>
      <c r="E29" t="inlineStr">
        <is>
          <t>YES</t>
        </is>
      </c>
      <c r="F29" t="inlineStr">
        <is>
          <t>ORIGINAL</t>
        </is>
      </c>
    </row>
    <row r="30">
      <c r="A30" t="inlineStr">
        <is>
          <t>Berkshire</t>
        </is>
      </c>
      <c r="B30" t="inlineStr">
        <is>
          <t>2017-06-30</t>
        </is>
      </c>
      <c r="C30" t="inlineStr">
        <is>
          <t>2017-08-14</t>
        </is>
      </c>
      <c r="D30" t="n">
        <v>45</v>
      </c>
      <c r="E30" t="inlineStr">
        <is>
          <t>YES</t>
        </is>
      </c>
      <c r="F30" t="inlineStr">
        <is>
          <t>ORIGINAL</t>
        </is>
      </c>
    </row>
    <row r="31">
      <c r="A31" t="inlineStr">
        <is>
          <t>Berkshire</t>
        </is>
      </c>
      <c r="B31" t="inlineStr">
        <is>
          <t>2017-09-30</t>
        </is>
      </c>
      <c r="C31" t="inlineStr">
        <is>
          <t>2017-11-14</t>
        </is>
      </c>
      <c r="D31" t="n">
        <v>45</v>
      </c>
      <c r="E31" t="inlineStr">
        <is>
          <t>YES</t>
        </is>
      </c>
      <c r="F31" t="inlineStr">
        <is>
          <t>ORIGINAL</t>
        </is>
      </c>
    </row>
    <row r="32">
      <c r="A32" t="inlineStr">
        <is>
          <t>Berkshire</t>
        </is>
      </c>
      <c r="B32" t="inlineStr">
        <is>
          <t>2017-12-31</t>
        </is>
      </c>
      <c r="C32" t="inlineStr">
        <is>
          <t>2018-02-14</t>
        </is>
      </c>
      <c r="D32" t="n">
        <v>45</v>
      </c>
      <c r="E32" t="inlineStr">
        <is>
          <t>YES</t>
        </is>
      </c>
      <c r="F32" t="inlineStr">
        <is>
          <t>ORIGINAL</t>
        </is>
      </c>
    </row>
    <row r="33">
      <c r="A33" t="inlineStr">
        <is>
          <t>Berkshire</t>
        </is>
      </c>
      <c r="B33" t="inlineStr">
        <is>
          <t>2018-03-31</t>
        </is>
      </c>
      <c r="C33" t="inlineStr">
        <is>
          <t>2018-05-15</t>
        </is>
      </c>
      <c r="D33" t="n">
        <v>45</v>
      </c>
      <c r="E33" t="inlineStr">
        <is>
          <t>YES</t>
        </is>
      </c>
      <c r="F33" t="inlineStr">
        <is>
          <t>ORIGINAL</t>
        </is>
      </c>
    </row>
    <row r="34">
      <c r="A34" t="inlineStr">
        <is>
          <t>Berkshire</t>
        </is>
      </c>
      <c r="B34" t="inlineStr">
        <is>
          <t>2018-06-30</t>
        </is>
      </c>
      <c r="C34" t="inlineStr">
        <is>
          <t>2018-08-14</t>
        </is>
      </c>
      <c r="D34" t="n">
        <v>45</v>
      </c>
      <c r="E34" t="inlineStr">
        <is>
          <t>YES</t>
        </is>
      </c>
      <c r="F34" t="inlineStr">
        <is>
          <t>ORIGINAL</t>
        </is>
      </c>
    </row>
    <row r="35">
      <c r="A35" t="inlineStr">
        <is>
          <t>Berkshire</t>
        </is>
      </c>
      <c r="B35" t="inlineStr">
        <is>
          <t>2018-09-30</t>
        </is>
      </c>
      <c r="C35" t="inlineStr">
        <is>
          <t>2018-11-14</t>
        </is>
      </c>
      <c r="D35" t="n">
        <v>45</v>
      </c>
      <c r="E35" t="inlineStr">
        <is>
          <t>YES</t>
        </is>
      </c>
      <c r="F35" t="inlineStr">
        <is>
          <t>ORIGINAL</t>
        </is>
      </c>
    </row>
    <row r="36">
      <c r="A36" t="inlineStr">
        <is>
          <t>Berkshire</t>
        </is>
      </c>
      <c r="B36" t="inlineStr">
        <is>
          <t>2018-12-31</t>
        </is>
      </c>
      <c r="C36" t="inlineStr">
        <is>
          <t>2019-02-14</t>
        </is>
      </c>
      <c r="D36" t="n">
        <v>45</v>
      </c>
      <c r="E36" t="inlineStr">
        <is>
          <t>YES</t>
        </is>
      </c>
      <c r="F36" t="inlineStr">
        <is>
          <t>ORIGINAL</t>
        </is>
      </c>
    </row>
    <row r="37">
      <c r="A37" t="inlineStr">
        <is>
          <t>Berkshire</t>
        </is>
      </c>
      <c r="B37" t="inlineStr">
        <is>
          <t>2019-03-31</t>
        </is>
      </c>
      <c r="C37" t="inlineStr">
        <is>
          <t>2019-05-15</t>
        </is>
      </c>
      <c r="D37" t="n">
        <v>45</v>
      </c>
      <c r="E37" t="inlineStr">
        <is>
          <t>YES</t>
        </is>
      </c>
      <c r="F37" t="inlineStr">
        <is>
          <t>ORIGINAL</t>
        </is>
      </c>
    </row>
    <row r="38">
      <c r="A38" t="inlineStr">
        <is>
          <t>Berkshire</t>
        </is>
      </c>
      <c r="B38" t="inlineStr">
        <is>
          <t>2019-06-30</t>
        </is>
      </c>
      <c r="C38" t="inlineStr">
        <is>
          <t>2019-08-14</t>
        </is>
      </c>
      <c r="D38" t="n">
        <v>45</v>
      </c>
      <c r="E38" t="inlineStr">
        <is>
          <t>YES</t>
        </is>
      </c>
      <c r="F38" t="inlineStr">
        <is>
          <t>ORIGINAL</t>
        </is>
      </c>
    </row>
    <row r="39">
      <c r="A39" t="inlineStr">
        <is>
          <t>Berkshire</t>
        </is>
      </c>
      <c r="B39" t="inlineStr">
        <is>
          <t>2019-09-30</t>
        </is>
      </c>
      <c r="C39" t="inlineStr">
        <is>
          <t>2019-11-14</t>
        </is>
      </c>
      <c r="D39" t="n">
        <v>45</v>
      </c>
      <c r="E39" t="inlineStr">
        <is>
          <t>YES</t>
        </is>
      </c>
      <c r="F39" t="inlineStr">
        <is>
          <t>ORIGINAL</t>
        </is>
      </c>
    </row>
    <row r="40">
      <c r="A40" t="inlineStr">
        <is>
          <t>Berkshire</t>
        </is>
      </c>
      <c r="B40" t="inlineStr">
        <is>
          <t>2019-12-31</t>
        </is>
      </c>
      <c r="C40" t="inlineStr">
        <is>
          <t>2020-02-14</t>
        </is>
      </c>
      <c r="D40" t="n">
        <v>45</v>
      </c>
      <c r="E40" t="inlineStr">
        <is>
          <t>YES</t>
        </is>
      </c>
      <c r="F40" t="inlineStr">
        <is>
          <t>ORIGINAL</t>
        </is>
      </c>
    </row>
    <row r="41">
      <c r="A41" t="inlineStr">
        <is>
          <t>Berkshire</t>
        </is>
      </c>
      <c r="B41" t="inlineStr">
        <is>
          <t>2020-03-31</t>
        </is>
      </c>
      <c r="C41" t="inlineStr">
        <is>
          <t>2020-05-15</t>
        </is>
      </c>
      <c r="D41" t="n">
        <v>45</v>
      </c>
      <c r="E41" t="inlineStr">
        <is>
          <t>YES</t>
        </is>
      </c>
      <c r="F41" t="inlineStr">
        <is>
          <t>ORIGINAL</t>
        </is>
      </c>
    </row>
    <row r="42">
      <c r="A42" t="inlineStr">
        <is>
          <t>Berkshire</t>
        </is>
      </c>
      <c r="B42" t="inlineStr">
        <is>
          <t>2020-06-30</t>
        </is>
      </c>
      <c r="C42" t="inlineStr">
        <is>
          <t>2020-08-14</t>
        </is>
      </c>
      <c r="D42" t="n">
        <v>45</v>
      </c>
      <c r="E42" t="inlineStr">
        <is>
          <t>YES</t>
        </is>
      </c>
      <c r="F42" t="inlineStr">
        <is>
          <t>ORIGINAL</t>
        </is>
      </c>
    </row>
    <row r="43">
      <c r="A43" t="inlineStr">
        <is>
          <t>Berkshire</t>
        </is>
      </c>
      <c r="B43" t="inlineStr">
        <is>
          <t>2020-09-30</t>
        </is>
      </c>
      <c r="C43" t="inlineStr">
        <is>
          <t>2021-02-16</t>
        </is>
      </c>
      <c r="D43" t="n">
        <v>139</v>
      </c>
      <c r="E43" t="inlineStr"/>
      <c r="F43" t="inlineStr">
        <is>
          <t>AMENDMENT?</t>
        </is>
      </c>
    </row>
    <row r="44">
      <c r="A44" t="inlineStr">
        <is>
          <t>Berkshire</t>
        </is>
      </c>
      <c r="B44" t="inlineStr">
        <is>
          <t>2020-12-31</t>
        </is>
      </c>
      <c r="C44" t="inlineStr">
        <is>
          <t>2021-02-16</t>
        </is>
      </c>
      <c r="D44" t="n">
        <v>47</v>
      </c>
      <c r="E44" t="inlineStr"/>
      <c r="F44" t="inlineStr">
        <is>
          <t>ORIGINAL</t>
        </is>
      </c>
    </row>
    <row r="45">
      <c r="A45" t="inlineStr">
        <is>
          <t>Berkshire</t>
        </is>
      </c>
      <c r="B45" t="inlineStr">
        <is>
          <t>2021-03-31</t>
        </is>
      </c>
      <c r="C45" t="inlineStr">
        <is>
          <t>2021-05-17</t>
        </is>
      </c>
      <c r="D45" t="n">
        <v>47</v>
      </c>
      <c r="E45" t="inlineStr"/>
      <c r="F45" t="inlineStr">
        <is>
          <t>ORIGINAL</t>
        </is>
      </c>
    </row>
    <row r="46">
      <c r="A46" t="inlineStr">
        <is>
          <t>Berkshire</t>
        </is>
      </c>
      <c r="B46" t="inlineStr">
        <is>
          <t>2021-09-30</t>
        </is>
      </c>
      <c r="C46" t="inlineStr">
        <is>
          <t>2021-11-15</t>
        </is>
      </c>
      <c r="D46" t="n">
        <v>46</v>
      </c>
      <c r="E46" t="inlineStr"/>
      <c r="F46" t="inlineStr">
        <is>
          <t>ORIGINAL</t>
        </is>
      </c>
    </row>
    <row r="47">
      <c r="A47" t="inlineStr">
        <is>
          <t>Berkshire</t>
        </is>
      </c>
      <c r="B47" t="inlineStr">
        <is>
          <t>2021-12-31</t>
        </is>
      </c>
      <c r="C47" t="inlineStr">
        <is>
          <t>2022-02-14</t>
        </is>
      </c>
      <c r="D47" t="n">
        <v>45</v>
      </c>
      <c r="E47" t="inlineStr">
        <is>
          <t>YES</t>
        </is>
      </c>
      <c r="F47" t="inlineStr">
        <is>
          <t>ORIGINAL</t>
        </is>
      </c>
    </row>
    <row r="48">
      <c r="A48" t="inlineStr">
        <is>
          <t>Berkshire</t>
        </is>
      </c>
      <c r="B48" t="inlineStr">
        <is>
          <t>2022-03-31</t>
        </is>
      </c>
      <c r="C48" t="inlineStr">
        <is>
          <t>2022-05-16</t>
        </is>
      </c>
      <c r="D48" t="n">
        <v>46</v>
      </c>
      <c r="E48" t="inlineStr"/>
      <c r="F48" t="inlineStr">
        <is>
          <t>ORIGINAL</t>
        </is>
      </c>
    </row>
    <row r="49">
      <c r="A49" t="inlineStr">
        <is>
          <t>Berkshire</t>
        </is>
      </c>
      <c r="B49" t="inlineStr">
        <is>
          <t>2022-06-30</t>
        </is>
      </c>
      <c r="C49" t="inlineStr">
        <is>
          <t>2022-08-15</t>
        </is>
      </c>
      <c r="D49" t="n">
        <v>46</v>
      </c>
      <c r="E49" t="inlineStr"/>
      <c r="F49" t="inlineStr">
        <is>
          <t>ORIGINAL</t>
        </is>
      </c>
    </row>
    <row r="50">
      <c r="A50" t="inlineStr">
        <is>
          <t>Berkshire</t>
        </is>
      </c>
      <c r="B50" t="inlineStr">
        <is>
          <t>2022-09-30</t>
        </is>
      </c>
      <c r="C50" t="inlineStr">
        <is>
          <t>2022-11-14</t>
        </is>
      </c>
      <c r="D50" t="n">
        <v>45</v>
      </c>
      <c r="E50" t="inlineStr">
        <is>
          <t>YES</t>
        </is>
      </c>
      <c r="F50" t="inlineStr">
        <is>
          <t>ORIGINAL</t>
        </is>
      </c>
    </row>
    <row r="51">
      <c r="A51" t="inlineStr">
        <is>
          <t>Berkshire</t>
        </is>
      </c>
      <c r="B51" t="inlineStr">
        <is>
          <t>2022-12-31</t>
        </is>
      </c>
      <c r="C51" t="inlineStr">
        <is>
          <t>2023-02-14</t>
        </is>
      </c>
      <c r="D51" t="n">
        <v>45</v>
      </c>
      <c r="E51" t="inlineStr">
        <is>
          <t>YES</t>
        </is>
      </c>
      <c r="F51" t="inlineStr">
        <is>
          <t>ORIGINAL</t>
        </is>
      </c>
    </row>
    <row r="52">
      <c r="A52" t="inlineStr">
        <is>
          <t>Berkshire</t>
        </is>
      </c>
      <c r="B52" t="inlineStr">
        <is>
          <t>2023-03-31</t>
        </is>
      </c>
      <c r="C52" t="inlineStr">
        <is>
          <t>2023-05-15</t>
        </is>
      </c>
      <c r="D52" t="n">
        <v>45</v>
      </c>
      <c r="E52" t="inlineStr">
        <is>
          <t>YES</t>
        </is>
      </c>
      <c r="F52" t="inlineStr">
        <is>
          <t>ORIGINAL</t>
        </is>
      </c>
    </row>
    <row r="53">
      <c r="A53" t="inlineStr">
        <is>
          <t>Berkshire</t>
        </is>
      </c>
      <c r="B53" t="inlineStr">
        <is>
          <t>2023-06-30</t>
        </is>
      </c>
      <c r="C53" t="inlineStr">
        <is>
          <t>2023-08-14</t>
        </is>
      </c>
      <c r="D53" t="n">
        <v>45</v>
      </c>
      <c r="E53" t="inlineStr">
        <is>
          <t>YES</t>
        </is>
      </c>
      <c r="F53" t="inlineStr">
        <is>
          <t>ORIGINAL</t>
        </is>
      </c>
    </row>
    <row r="54">
      <c r="A54" t="inlineStr">
        <is>
          <t>Berkshire</t>
        </is>
      </c>
      <c r="B54" t="inlineStr">
        <is>
          <t>2023-09-30</t>
        </is>
      </c>
      <c r="C54" t="inlineStr">
        <is>
          <t>2024-05-15</t>
        </is>
      </c>
      <c r="D54" t="n">
        <v>228</v>
      </c>
      <c r="E54" t="inlineStr"/>
      <c r="F54" t="inlineStr">
        <is>
          <t>AMENDMENT?</t>
        </is>
      </c>
    </row>
    <row r="55">
      <c r="A55" t="inlineStr">
        <is>
          <t>Berkshire</t>
        </is>
      </c>
      <c r="B55" t="inlineStr">
        <is>
          <t>2023-12-31</t>
        </is>
      </c>
      <c r="C55" t="inlineStr">
        <is>
          <t>2024-05-15</t>
        </is>
      </c>
      <c r="D55" t="n">
        <v>136</v>
      </c>
      <c r="E55" t="inlineStr"/>
      <c r="F55" t="inlineStr">
        <is>
          <t>AMENDMENT?</t>
        </is>
      </c>
    </row>
    <row r="56">
      <c r="A56" t="inlineStr">
        <is>
          <t>Berkshire</t>
        </is>
      </c>
      <c r="B56" t="inlineStr">
        <is>
          <t>2024-03-31</t>
        </is>
      </c>
      <c r="C56" t="inlineStr">
        <is>
          <t>2024-05-15</t>
        </is>
      </c>
      <c r="D56" t="n">
        <v>45</v>
      </c>
      <c r="E56" t="inlineStr">
        <is>
          <t>YES</t>
        </is>
      </c>
      <c r="F56" t="inlineStr">
        <is>
          <t>ORIGINAL</t>
        </is>
      </c>
    </row>
    <row r="57">
      <c r="A57" t="inlineStr">
        <is>
          <t>Berkshire</t>
        </is>
      </c>
      <c r="B57" t="inlineStr">
        <is>
          <t>2024-06-30</t>
        </is>
      </c>
      <c r="C57" t="inlineStr">
        <is>
          <t>2024-08-14</t>
        </is>
      </c>
      <c r="D57" t="n">
        <v>45</v>
      </c>
      <c r="E57" t="inlineStr">
        <is>
          <t>YES</t>
        </is>
      </c>
      <c r="F57" t="inlineStr">
        <is>
          <t>ORIGINAL</t>
        </is>
      </c>
    </row>
    <row r="58">
      <c r="A58" t="inlineStr">
        <is>
          <t>Berkshire</t>
        </is>
      </c>
      <c r="B58" t="inlineStr">
        <is>
          <t>2024-09-30</t>
        </is>
      </c>
      <c r="C58" t="inlineStr">
        <is>
          <t>2024-11-14</t>
        </is>
      </c>
      <c r="D58" t="n">
        <v>45</v>
      </c>
      <c r="E58" t="inlineStr">
        <is>
          <t>YES</t>
        </is>
      </c>
      <c r="F58" t="inlineStr">
        <is>
          <t>ORIGINAL</t>
        </is>
      </c>
    </row>
    <row r="59">
      <c r="A59" t="inlineStr">
        <is>
          <t>Berkshire</t>
        </is>
      </c>
      <c r="B59" t="inlineStr">
        <is>
          <t>2024-12-31</t>
        </is>
      </c>
      <c r="C59" t="inlineStr">
        <is>
          <t>2025-02-14</t>
        </is>
      </c>
      <c r="D59" t="n">
        <v>45</v>
      </c>
      <c r="E59" t="inlineStr">
        <is>
          <t>YES</t>
        </is>
      </c>
      <c r="F59" t="inlineStr">
        <is>
          <t>ORIGINAL</t>
        </is>
      </c>
    </row>
    <row r="60">
      <c r="A60" t="inlineStr">
        <is>
          <t>Berkshire</t>
        </is>
      </c>
      <c r="B60" t="inlineStr">
        <is>
          <t>2025-03-31</t>
        </is>
      </c>
      <c r="C60" t="inlineStr">
        <is>
          <t>2025-08-14</t>
        </is>
      </c>
      <c r="D60" t="n">
        <v>136</v>
      </c>
      <c r="E60" t="inlineStr"/>
      <c r="F60" t="inlineStr">
        <is>
          <t>AMENDMENT?</t>
        </is>
      </c>
    </row>
    <row r="61">
      <c r="A61" t="inlineStr">
        <is>
          <t>Berkshire</t>
        </is>
      </c>
      <c r="B61" t="inlineStr">
        <is>
          <t>2025-06-30</t>
        </is>
      </c>
      <c r="C61" t="inlineStr">
        <is>
          <t>2025-08-14</t>
        </is>
      </c>
      <c r="D61" t="n">
        <v>45</v>
      </c>
      <c r="E61" t="inlineStr">
        <is>
          <t>YES</t>
        </is>
      </c>
      <c r="F61" t="inlineStr">
        <is>
          <t>ORIGINAL</t>
        </is>
      </c>
    </row>
    <row r="62">
      <c r="A62" t="inlineStr">
        <is>
          <t>Berkshire</t>
        </is>
      </c>
      <c r="B62" t="inlineStr">
        <is>
          <t>2025-09-30</t>
        </is>
      </c>
      <c r="C62" t="inlineStr">
        <is>
          <t>2025-11-14</t>
        </is>
      </c>
      <c r="D62" t="n">
        <v>45</v>
      </c>
      <c r="E62" t="inlineStr">
        <is>
          <t>YES</t>
        </is>
      </c>
      <c r="F62" t="inlineStr">
        <is>
          <t>ORIGINAL</t>
        </is>
      </c>
    </row>
    <row r="63">
      <c r="A63" t="inlineStr">
        <is>
          <t>Berkshire</t>
        </is>
      </c>
      <c r="B63" t="inlineStr">
        <is>
          <t>2025-12-31</t>
        </is>
      </c>
      <c r="C63" t="inlineStr">
        <is>
          <t>2026-02-17</t>
        </is>
      </c>
      <c r="D63" t="n">
        <v>48</v>
      </c>
      <c r="E63" t="inlineStr"/>
      <c r="F63" t="inlineStr">
        <is>
          <t>ORIGINAL</t>
        </is>
      </c>
    </row>
    <row r="64">
      <c r="A64" t="inlineStr">
        <is>
          <t>Pershing</t>
        </is>
      </c>
      <c r="B64" t="inlineStr">
        <is>
          <t>2005-12-31</t>
        </is>
      </c>
      <c r="C64" t="inlineStr">
        <is>
          <t>2006-02-14</t>
        </is>
      </c>
      <c r="D64" t="n">
        <v>45</v>
      </c>
      <c r="E64" t="inlineStr">
        <is>
          <t>YES</t>
        </is>
      </c>
      <c r="F64" t="inlineStr">
        <is>
          <t>ORIGINAL</t>
        </is>
      </c>
    </row>
    <row r="65">
      <c r="A65" t="inlineStr">
        <is>
          <t>Pershing</t>
        </is>
      </c>
      <c r="B65" t="inlineStr">
        <is>
          <t>2006-06-30</t>
        </is>
      </c>
      <c r="C65" t="inlineStr">
        <is>
          <t>2006-08-14</t>
        </is>
      </c>
      <c r="D65" t="n">
        <v>45</v>
      </c>
      <c r="E65" t="inlineStr">
        <is>
          <t>YES</t>
        </is>
      </c>
      <c r="F65" t="inlineStr">
        <is>
          <t>ORIGINAL</t>
        </is>
      </c>
    </row>
    <row r="66">
      <c r="A66" t="inlineStr">
        <is>
          <t>Pershing</t>
        </is>
      </c>
      <c r="B66" t="inlineStr">
        <is>
          <t>2006-09-30</t>
        </is>
      </c>
      <c r="C66" t="inlineStr">
        <is>
          <t>2006-11-14</t>
        </is>
      </c>
      <c r="D66" t="n">
        <v>45</v>
      </c>
      <c r="E66" t="inlineStr">
        <is>
          <t>YES</t>
        </is>
      </c>
      <c r="F66" t="inlineStr">
        <is>
          <t>ORIGINAL</t>
        </is>
      </c>
    </row>
    <row r="67">
      <c r="A67" t="inlineStr">
        <is>
          <t>Pershing</t>
        </is>
      </c>
      <c r="B67" t="inlineStr">
        <is>
          <t>2006-12-31</t>
        </is>
      </c>
      <c r="C67" t="inlineStr">
        <is>
          <t>2007-02-14</t>
        </is>
      </c>
      <c r="D67" t="n">
        <v>45</v>
      </c>
      <c r="E67" t="inlineStr">
        <is>
          <t>YES</t>
        </is>
      </c>
      <c r="F67" t="inlineStr">
        <is>
          <t>ORIGINAL</t>
        </is>
      </c>
    </row>
    <row r="68">
      <c r="A68" t="inlineStr">
        <is>
          <t>Pershing</t>
        </is>
      </c>
      <c r="B68" t="inlineStr">
        <is>
          <t>2007-03-31</t>
        </is>
      </c>
      <c r="C68" t="inlineStr">
        <is>
          <t>2007-05-15</t>
        </is>
      </c>
      <c r="D68" t="n">
        <v>45</v>
      </c>
      <c r="E68" t="inlineStr">
        <is>
          <t>YES</t>
        </is>
      </c>
      <c r="F68" t="inlineStr">
        <is>
          <t>ORIGINAL</t>
        </is>
      </c>
    </row>
    <row r="69">
      <c r="A69" t="inlineStr">
        <is>
          <t>Pershing</t>
        </is>
      </c>
      <c r="B69" t="inlineStr">
        <is>
          <t>2007-06-30</t>
        </is>
      </c>
      <c r="C69" t="inlineStr">
        <is>
          <t>2007-08-14</t>
        </is>
      </c>
      <c r="D69" t="n">
        <v>45</v>
      </c>
      <c r="E69" t="inlineStr">
        <is>
          <t>YES</t>
        </is>
      </c>
      <c r="F69" t="inlineStr">
        <is>
          <t>ORIGINAL</t>
        </is>
      </c>
    </row>
    <row r="70">
      <c r="A70" t="inlineStr">
        <is>
          <t>Pershing</t>
        </is>
      </c>
      <c r="B70" t="inlineStr">
        <is>
          <t>2007-09-30</t>
        </is>
      </c>
      <c r="C70" t="inlineStr">
        <is>
          <t>2007-11-14</t>
        </is>
      </c>
      <c r="D70" t="n">
        <v>45</v>
      </c>
      <c r="E70" t="inlineStr">
        <is>
          <t>YES</t>
        </is>
      </c>
      <c r="F70" t="inlineStr">
        <is>
          <t>ORIGINAL</t>
        </is>
      </c>
    </row>
    <row r="71">
      <c r="A71" t="inlineStr">
        <is>
          <t>Pershing</t>
        </is>
      </c>
      <c r="B71" t="inlineStr">
        <is>
          <t>2007-12-31</t>
        </is>
      </c>
      <c r="C71" t="inlineStr">
        <is>
          <t>2008-02-14</t>
        </is>
      </c>
      <c r="D71" t="n">
        <v>45</v>
      </c>
      <c r="E71" t="inlineStr">
        <is>
          <t>YES</t>
        </is>
      </c>
      <c r="F71" t="inlineStr">
        <is>
          <t>ORIGINAL</t>
        </is>
      </c>
    </row>
    <row r="72">
      <c r="A72" t="inlineStr">
        <is>
          <t>Pershing</t>
        </is>
      </c>
      <c r="B72" t="inlineStr">
        <is>
          <t>2008-03-31</t>
        </is>
      </c>
      <c r="C72" t="inlineStr">
        <is>
          <t>2008-05-15</t>
        </is>
      </c>
      <c r="D72" t="n">
        <v>45</v>
      </c>
      <c r="E72" t="inlineStr">
        <is>
          <t>YES</t>
        </is>
      </c>
      <c r="F72" t="inlineStr">
        <is>
          <t>ORIGINAL</t>
        </is>
      </c>
    </row>
    <row r="73">
      <c r="A73" t="inlineStr">
        <is>
          <t>Pershing</t>
        </is>
      </c>
      <c r="B73" t="inlineStr">
        <is>
          <t>2008-06-30</t>
        </is>
      </c>
      <c r="C73" t="inlineStr">
        <is>
          <t>2008-10-30</t>
        </is>
      </c>
      <c r="D73" t="n">
        <v>122</v>
      </c>
      <c r="E73" t="inlineStr"/>
      <c r="F73" t="inlineStr">
        <is>
          <t>AMENDMENT?</t>
        </is>
      </c>
    </row>
    <row r="74">
      <c r="A74" t="inlineStr">
        <is>
          <t>Pershing</t>
        </is>
      </c>
      <c r="B74" t="inlineStr">
        <is>
          <t>2008-09-30</t>
        </is>
      </c>
      <c r="C74" t="inlineStr">
        <is>
          <t>2008-11-13</t>
        </is>
      </c>
      <c r="D74" t="n">
        <v>44</v>
      </c>
      <c r="E74" t="inlineStr"/>
      <c r="F74" t="inlineStr">
        <is>
          <t>ORIGINAL</t>
        </is>
      </c>
    </row>
    <row r="75">
      <c r="A75" t="inlineStr">
        <is>
          <t>Pershing</t>
        </is>
      </c>
      <c r="B75" t="inlineStr">
        <is>
          <t>2008-12-31</t>
        </is>
      </c>
      <c r="C75" t="inlineStr">
        <is>
          <t>2009-06-17</t>
        </is>
      </c>
      <c r="D75" t="n">
        <v>168</v>
      </c>
      <c r="E75" t="inlineStr"/>
      <c r="F75" t="inlineStr">
        <is>
          <t>AMENDMENT?</t>
        </is>
      </c>
    </row>
    <row r="76">
      <c r="A76" t="inlineStr">
        <is>
          <t>Pershing</t>
        </is>
      </c>
      <c r="B76" t="inlineStr">
        <is>
          <t>2009-03-31</t>
        </is>
      </c>
      <c r="C76" t="inlineStr">
        <is>
          <t>2009-06-17</t>
        </is>
      </c>
      <c r="D76" t="n">
        <v>78</v>
      </c>
      <c r="E76" t="inlineStr"/>
      <c r="F76" t="inlineStr">
        <is>
          <t>ORIGINAL</t>
        </is>
      </c>
    </row>
    <row r="77">
      <c r="A77" t="inlineStr">
        <is>
          <t>Pershing</t>
        </is>
      </c>
      <c r="B77" t="inlineStr">
        <is>
          <t>2009-06-30</t>
        </is>
      </c>
      <c r="C77" t="inlineStr">
        <is>
          <t>2009-08-14</t>
        </is>
      </c>
      <c r="D77" t="n">
        <v>45</v>
      </c>
      <c r="E77" t="inlineStr">
        <is>
          <t>YES</t>
        </is>
      </c>
      <c r="F77" t="inlineStr">
        <is>
          <t>ORIGINAL</t>
        </is>
      </c>
    </row>
    <row r="78">
      <c r="A78" t="inlineStr">
        <is>
          <t>Pershing</t>
        </is>
      </c>
      <c r="B78" t="inlineStr">
        <is>
          <t>2009-09-30</t>
        </is>
      </c>
      <c r="C78" t="inlineStr">
        <is>
          <t>2009-11-16</t>
        </is>
      </c>
      <c r="D78" t="n">
        <v>47</v>
      </c>
      <c r="E78" t="inlineStr"/>
      <c r="F78" t="inlineStr">
        <is>
          <t>ORIGINAL</t>
        </is>
      </c>
    </row>
    <row r="79">
      <c r="A79" t="inlineStr">
        <is>
          <t>Pershing</t>
        </is>
      </c>
      <c r="B79" t="inlineStr">
        <is>
          <t>2009-12-31</t>
        </is>
      </c>
      <c r="C79" t="inlineStr">
        <is>
          <t>2010-04-16</t>
        </is>
      </c>
      <c r="D79" t="n">
        <v>106</v>
      </c>
      <c r="E79" t="inlineStr"/>
      <c r="F79" t="inlineStr">
        <is>
          <t>AMENDMENT?</t>
        </is>
      </c>
    </row>
    <row r="80">
      <c r="A80" t="inlineStr">
        <is>
          <t>Pershing</t>
        </is>
      </c>
      <c r="B80" t="inlineStr">
        <is>
          <t>2010-03-31</t>
        </is>
      </c>
      <c r="C80" t="inlineStr">
        <is>
          <t>2010-08-16</t>
        </is>
      </c>
      <c r="D80" t="n">
        <v>138</v>
      </c>
      <c r="E80" t="inlineStr"/>
      <c r="F80" t="inlineStr">
        <is>
          <t>AMENDMENT?</t>
        </is>
      </c>
    </row>
    <row r="81">
      <c r="A81" t="inlineStr">
        <is>
          <t>Pershing</t>
        </is>
      </c>
      <c r="B81" t="inlineStr">
        <is>
          <t>2010-06-30</t>
        </is>
      </c>
      <c r="C81" t="inlineStr">
        <is>
          <t>2010-08-16</t>
        </is>
      </c>
      <c r="D81" t="n">
        <v>47</v>
      </c>
      <c r="E81" t="inlineStr"/>
      <c r="F81" t="inlineStr">
        <is>
          <t>ORIGINAL</t>
        </is>
      </c>
    </row>
    <row r="82">
      <c r="A82" t="inlineStr">
        <is>
          <t>Pershing</t>
        </is>
      </c>
      <c r="B82" t="inlineStr">
        <is>
          <t>2010-09-30</t>
        </is>
      </c>
      <c r="C82" t="inlineStr">
        <is>
          <t>2010-11-15</t>
        </is>
      </c>
      <c r="D82" t="n">
        <v>46</v>
      </c>
      <c r="E82" t="inlineStr"/>
      <c r="F82" t="inlineStr">
        <is>
          <t>ORIGINAL</t>
        </is>
      </c>
    </row>
    <row r="83">
      <c r="A83" t="inlineStr">
        <is>
          <t>Pershing</t>
        </is>
      </c>
      <c r="B83" t="inlineStr">
        <is>
          <t>2010-12-31</t>
        </is>
      </c>
      <c r="C83" t="inlineStr">
        <is>
          <t>2011-03-31</t>
        </is>
      </c>
      <c r="D83" t="n">
        <v>90</v>
      </c>
      <c r="E83" t="inlineStr"/>
      <c r="F83" t="inlineStr">
        <is>
          <t>ORIGINAL</t>
        </is>
      </c>
    </row>
    <row r="84">
      <c r="A84" t="inlineStr">
        <is>
          <t>Pershing</t>
        </is>
      </c>
      <c r="B84" t="inlineStr">
        <is>
          <t>2011-03-31</t>
        </is>
      </c>
      <c r="C84" t="inlineStr">
        <is>
          <t>2011-05-26</t>
        </is>
      </c>
      <c r="D84" t="n">
        <v>56</v>
      </c>
      <c r="E84" t="inlineStr"/>
      <c r="F84" t="inlineStr">
        <is>
          <t>ORIGINAL</t>
        </is>
      </c>
    </row>
    <row r="85">
      <c r="A85" t="inlineStr">
        <is>
          <t>Pershing</t>
        </is>
      </c>
      <c r="B85" t="inlineStr">
        <is>
          <t>2011-06-30</t>
        </is>
      </c>
      <c r="C85" t="inlineStr">
        <is>
          <t>2011-08-15</t>
        </is>
      </c>
      <c r="D85" t="n">
        <v>46</v>
      </c>
      <c r="E85" t="inlineStr"/>
      <c r="F85" t="inlineStr">
        <is>
          <t>ORIGINAL</t>
        </is>
      </c>
    </row>
    <row r="86">
      <c r="A86" t="inlineStr">
        <is>
          <t>Pershing</t>
        </is>
      </c>
      <c r="B86" t="inlineStr">
        <is>
          <t>2011-09-30</t>
        </is>
      </c>
      <c r="C86" t="inlineStr">
        <is>
          <t>2011-11-14</t>
        </is>
      </c>
      <c r="D86" t="n">
        <v>45</v>
      </c>
      <c r="E86" t="inlineStr">
        <is>
          <t>YES</t>
        </is>
      </c>
      <c r="F86" t="inlineStr">
        <is>
          <t>ORIGINAL</t>
        </is>
      </c>
    </row>
    <row r="87">
      <c r="A87" t="inlineStr">
        <is>
          <t>Pershing</t>
        </is>
      </c>
      <c r="B87" t="inlineStr">
        <is>
          <t>2011-12-31</t>
        </is>
      </c>
      <c r="C87" t="inlineStr">
        <is>
          <t>2012-02-14</t>
        </is>
      </c>
      <c r="D87" t="n">
        <v>45</v>
      </c>
      <c r="E87" t="inlineStr">
        <is>
          <t>YES</t>
        </is>
      </c>
      <c r="F87" t="inlineStr">
        <is>
          <t>ORIGINAL</t>
        </is>
      </c>
    </row>
    <row r="88">
      <c r="A88" t="inlineStr">
        <is>
          <t>Pershing</t>
        </is>
      </c>
      <c r="B88" t="inlineStr">
        <is>
          <t>2012-03-31</t>
        </is>
      </c>
      <c r="C88" t="inlineStr">
        <is>
          <t>2012-05-15</t>
        </is>
      </c>
      <c r="D88" t="n">
        <v>45</v>
      </c>
      <c r="E88" t="inlineStr">
        <is>
          <t>YES</t>
        </is>
      </c>
      <c r="F88" t="inlineStr">
        <is>
          <t>ORIGINAL</t>
        </is>
      </c>
    </row>
    <row r="89">
      <c r="A89" t="inlineStr">
        <is>
          <t>Pershing</t>
        </is>
      </c>
      <c r="B89" t="inlineStr">
        <is>
          <t>2012-06-30</t>
        </is>
      </c>
      <c r="C89" t="inlineStr">
        <is>
          <t>2012-08-14</t>
        </is>
      </c>
      <c r="D89" t="n">
        <v>45</v>
      </c>
      <c r="E89" t="inlineStr">
        <is>
          <t>YES</t>
        </is>
      </c>
      <c r="F89" t="inlineStr">
        <is>
          <t>ORIGINAL</t>
        </is>
      </c>
    </row>
    <row r="90">
      <c r="A90" t="inlineStr">
        <is>
          <t>Pershing</t>
        </is>
      </c>
      <c r="B90" t="inlineStr">
        <is>
          <t>2012-09-30</t>
        </is>
      </c>
      <c r="C90" t="inlineStr">
        <is>
          <t>2012-11-14</t>
        </is>
      </c>
      <c r="D90" t="n">
        <v>45</v>
      </c>
      <c r="E90" t="inlineStr">
        <is>
          <t>YES</t>
        </is>
      </c>
      <c r="F90" t="inlineStr">
        <is>
          <t>ORIGINAL</t>
        </is>
      </c>
    </row>
    <row r="91">
      <c r="A91" t="inlineStr">
        <is>
          <t>Pershing</t>
        </is>
      </c>
      <c r="B91" t="inlineStr">
        <is>
          <t>2012-12-31</t>
        </is>
      </c>
      <c r="C91" t="inlineStr">
        <is>
          <t>2013-04-12</t>
        </is>
      </c>
      <c r="D91" t="n">
        <v>102</v>
      </c>
      <c r="E91" t="inlineStr"/>
      <c r="F91" t="inlineStr">
        <is>
          <t>AMENDMENT?</t>
        </is>
      </c>
    </row>
    <row r="92">
      <c r="A92" t="inlineStr">
        <is>
          <t>Pershing</t>
        </is>
      </c>
      <c r="B92" t="inlineStr">
        <is>
          <t>2013-03-31</t>
        </is>
      </c>
      <c r="C92" t="inlineStr">
        <is>
          <t>2013-05-15</t>
        </is>
      </c>
      <c r="D92" t="n">
        <v>45</v>
      </c>
      <c r="E92" t="inlineStr">
        <is>
          <t>YES</t>
        </is>
      </c>
      <c r="F92" t="inlineStr">
        <is>
          <t>ORIGINAL</t>
        </is>
      </c>
    </row>
    <row r="93">
      <c r="A93" t="inlineStr">
        <is>
          <t>Pershing</t>
        </is>
      </c>
      <c r="B93" t="inlineStr">
        <is>
          <t>2013-06-30</t>
        </is>
      </c>
      <c r="C93" t="inlineStr">
        <is>
          <t>2013-08-14</t>
        </is>
      </c>
      <c r="D93" t="n">
        <v>45</v>
      </c>
      <c r="E93" t="inlineStr">
        <is>
          <t>YES</t>
        </is>
      </c>
      <c r="F93" t="inlineStr">
        <is>
          <t>ORIGINAL</t>
        </is>
      </c>
    </row>
    <row r="94">
      <c r="A94" t="inlineStr">
        <is>
          <t>Pershing</t>
        </is>
      </c>
      <c r="B94" t="inlineStr">
        <is>
          <t>2013-09-30</t>
        </is>
      </c>
      <c r="C94" t="inlineStr">
        <is>
          <t>2013-11-14</t>
        </is>
      </c>
      <c r="D94" t="n">
        <v>45</v>
      </c>
      <c r="E94" t="inlineStr">
        <is>
          <t>YES</t>
        </is>
      </c>
      <c r="F94" t="inlineStr">
        <is>
          <t>ORIGINAL</t>
        </is>
      </c>
    </row>
    <row r="95">
      <c r="A95" t="inlineStr">
        <is>
          <t>Pershing</t>
        </is>
      </c>
      <c r="B95" t="inlineStr">
        <is>
          <t>2013-12-31</t>
        </is>
      </c>
      <c r="C95" t="inlineStr">
        <is>
          <t>2014-02-14</t>
        </is>
      </c>
      <c r="D95" t="n">
        <v>45</v>
      </c>
      <c r="E95" t="inlineStr">
        <is>
          <t>YES</t>
        </is>
      </c>
      <c r="F95" t="inlineStr">
        <is>
          <t>ORIGINAL</t>
        </is>
      </c>
    </row>
    <row r="96">
      <c r="A96" t="inlineStr">
        <is>
          <t>Pershing</t>
        </is>
      </c>
      <c r="B96" t="inlineStr">
        <is>
          <t>2014-03-31</t>
        </is>
      </c>
      <c r="C96" t="inlineStr">
        <is>
          <t>2014-05-15</t>
        </is>
      </c>
      <c r="D96" t="n">
        <v>45</v>
      </c>
      <c r="E96" t="inlineStr">
        <is>
          <t>YES</t>
        </is>
      </c>
      <c r="F96" t="inlineStr">
        <is>
          <t>ORIGINAL</t>
        </is>
      </c>
    </row>
    <row r="97">
      <c r="A97" t="inlineStr">
        <is>
          <t>Pershing</t>
        </is>
      </c>
      <c r="B97" t="inlineStr">
        <is>
          <t>2014-06-30</t>
        </is>
      </c>
      <c r="C97" t="inlineStr">
        <is>
          <t>2014-08-14</t>
        </is>
      </c>
      <c r="D97" t="n">
        <v>45</v>
      </c>
      <c r="E97" t="inlineStr">
        <is>
          <t>YES</t>
        </is>
      </c>
      <c r="F97" t="inlineStr">
        <is>
          <t>ORIGINAL</t>
        </is>
      </c>
    </row>
    <row r="98">
      <c r="A98" t="inlineStr">
        <is>
          <t>Pershing</t>
        </is>
      </c>
      <c r="B98" t="inlineStr">
        <is>
          <t>2014-09-30</t>
        </is>
      </c>
      <c r="C98" t="inlineStr">
        <is>
          <t>2014-11-14</t>
        </is>
      </c>
      <c r="D98" t="n">
        <v>45</v>
      </c>
      <c r="E98" t="inlineStr">
        <is>
          <t>YES</t>
        </is>
      </c>
      <c r="F98" t="inlineStr">
        <is>
          <t>ORIGINAL</t>
        </is>
      </c>
    </row>
    <row r="99">
      <c r="A99" t="inlineStr">
        <is>
          <t>Pershing</t>
        </is>
      </c>
      <c r="B99" t="inlineStr">
        <is>
          <t>2014-12-31</t>
        </is>
      </c>
      <c r="C99" t="inlineStr">
        <is>
          <t>2015-02-17</t>
        </is>
      </c>
      <c r="D99" t="n">
        <v>48</v>
      </c>
      <c r="E99" t="inlineStr"/>
      <c r="F99" t="inlineStr">
        <is>
          <t>ORIGINAL</t>
        </is>
      </c>
    </row>
    <row r="100">
      <c r="A100" t="inlineStr">
        <is>
          <t>Pershing</t>
        </is>
      </c>
      <c r="B100" t="inlineStr">
        <is>
          <t>2015-03-31</t>
        </is>
      </c>
      <c r="C100" t="inlineStr">
        <is>
          <t>2015-05-15</t>
        </is>
      </c>
      <c r="D100" t="n">
        <v>45</v>
      </c>
      <c r="E100" t="inlineStr">
        <is>
          <t>YES</t>
        </is>
      </c>
      <c r="F100" t="inlineStr">
        <is>
          <t>ORIGINAL</t>
        </is>
      </c>
    </row>
    <row r="101">
      <c r="A101" t="inlineStr">
        <is>
          <t>Pershing</t>
        </is>
      </c>
      <c r="B101" t="inlineStr">
        <is>
          <t>2015-06-30</t>
        </is>
      </c>
      <c r="C101" t="inlineStr">
        <is>
          <t>2015-08-14</t>
        </is>
      </c>
      <c r="D101" t="n">
        <v>45</v>
      </c>
      <c r="E101" t="inlineStr">
        <is>
          <t>YES</t>
        </is>
      </c>
      <c r="F101" t="inlineStr">
        <is>
          <t>ORIGINAL</t>
        </is>
      </c>
    </row>
    <row r="102">
      <c r="A102" t="inlineStr">
        <is>
          <t>Pershing</t>
        </is>
      </c>
      <c r="B102" t="inlineStr">
        <is>
          <t>2015-09-30</t>
        </is>
      </c>
      <c r="C102" t="inlineStr">
        <is>
          <t>2015-11-16</t>
        </is>
      </c>
      <c r="D102" t="n">
        <v>47</v>
      </c>
      <c r="E102" t="inlineStr"/>
      <c r="F102" t="inlineStr">
        <is>
          <t>ORIGINAL</t>
        </is>
      </c>
    </row>
    <row r="103">
      <c r="A103" t="inlineStr">
        <is>
          <t>Pershing</t>
        </is>
      </c>
      <c r="B103" t="inlineStr">
        <is>
          <t>2015-12-31</t>
        </is>
      </c>
      <c r="C103" t="inlineStr">
        <is>
          <t>2016-02-16</t>
        </is>
      </c>
      <c r="D103" t="n">
        <v>47</v>
      </c>
      <c r="E103" t="inlineStr"/>
      <c r="F103" t="inlineStr">
        <is>
          <t>ORIGINAL</t>
        </is>
      </c>
    </row>
    <row r="104">
      <c r="A104" t="inlineStr">
        <is>
          <t>Pershing</t>
        </is>
      </c>
      <c r="B104" t="inlineStr">
        <is>
          <t>2016-03-31</t>
        </is>
      </c>
      <c r="C104" t="inlineStr">
        <is>
          <t>2016-05-16</t>
        </is>
      </c>
      <c r="D104" t="n">
        <v>46</v>
      </c>
      <c r="E104" t="inlineStr"/>
      <c r="F104" t="inlineStr">
        <is>
          <t>ORIGINAL</t>
        </is>
      </c>
    </row>
    <row r="105">
      <c r="A105" t="inlineStr">
        <is>
          <t>Pershing</t>
        </is>
      </c>
      <c r="B105" t="inlineStr">
        <is>
          <t>2016-06-30</t>
        </is>
      </c>
      <c r="C105" t="inlineStr">
        <is>
          <t>2016-08-15</t>
        </is>
      </c>
      <c r="D105" t="n">
        <v>46</v>
      </c>
      <c r="E105" t="inlineStr"/>
      <c r="F105" t="inlineStr">
        <is>
          <t>ORIGINAL</t>
        </is>
      </c>
    </row>
    <row r="106">
      <c r="A106" t="inlineStr">
        <is>
          <t>Pershing</t>
        </is>
      </c>
      <c r="B106" t="inlineStr">
        <is>
          <t>2016-09-30</t>
        </is>
      </c>
      <c r="C106" t="inlineStr">
        <is>
          <t>2016-11-14</t>
        </is>
      </c>
      <c r="D106" t="n">
        <v>45</v>
      </c>
      <c r="E106" t="inlineStr">
        <is>
          <t>YES</t>
        </is>
      </c>
      <c r="F106" t="inlineStr">
        <is>
          <t>ORIGINAL</t>
        </is>
      </c>
    </row>
    <row r="107">
      <c r="A107" t="inlineStr">
        <is>
          <t>Pershing</t>
        </is>
      </c>
      <c r="B107" t="inlineStr">
        <is>
          <t>2016-12-31</t>
        </is>
      </c>
      <c r="C107" t="inlineStr">
        <is>
          <t>2017-02-14</t>
        </is>
      </c>
      <c r="D107" t="n">
        <v>45</v>
      </c>
      <c r="E107" t="inlineStr">
        <is>
          <t>YES</t>
        </is>
      </c>
      <c r="F107" t="inlineStr">
        <is>
          <t>ORIGINAL</t>
        </is>
      </c>
    </row>
    <row r="108">
      <c r="A108" t="inlineStr">
        <is>
          <t>Pershing</t>
        </is>
      </c>
      <c r="B108" t="inlineStr">
        <is>
          <t>2017-03-31</t>
        </is>
      </c>
      <c r="C108" t="inlineStr">
        <is>
          <t>2017-05-15</t>
        </is>
      </c>
      <c r="D108" t="n">
        <v>45</v>
      </c>
      <c r="E108" t="inlineStr">
        <is>
          <t>YES</t>
        </is>
      </c>
      <c r="F108" t="inlineStr">
        <is>
          <t>ORIGINAL</t>
        </is>
      </c>
    </row>
    <row r="109">
      <c r="A109" t="inlineStr">
        <is>
          <t>Pershing</t>
        </is>
      </c>
      <c r="B109" t="inlineStr">
        <is>
          <t>2017-06-30</t>
        </is>
      </c>
      <c r="C109" t="inlineStr">
        <is>
          <t>2017-08-14</t>
        </is>
      </c>
      <c r="D109" t="n">
        <v>45</v>
      </c>
      <c r="E109" t="inlineStr">
        <is>
          <t>YES</t>
        </is>
      </c>
      <c r="F109" t="inlineStr">
        <is>
          <t>ORIGINAL</t>
        </is>
      </c>
    </row>
    <row r="110">
      <c r="A110" t="inlineStr">
        <is>
          <t>Pershing</t>
        </is>
      </c>
      <c r="B110" t="inlineStr">
        <is>
          <t>2017-09-30</t>
        </is>
      </c>
      <c r="C110" t="inlineStr">
        <is>
          <t>2017-11-14</t>
        </is>
      </c>
      <c r="D110" t="n">
        <v>45</v>
      </c>
      <c r="E110" t="inlineStr">
        <is>
          <t>YES</t>
        </is>
      </c>
      <c r="F110" t="inlineStr">
        <is>
          <t>ORIGINAL</t>
        </is>
      </c>
    </row>
    <row r="111">
      <c r="A111" t="inlineStr">
        <is>
          <t>Pershing</t>
        </is>
      </c>
      <c r="B111" t="inlineStr">
        <is>
          <t>2017-12-31</t>
        </is>
      </c>
      <c r="C111" t="inlineStr">
        <is>
          <t>2018-02-14</t>
        </is>
      </c>
      <c r="D111" t="n">
        <v>45</v>
      </c>
      <c r="E111" t="inlineStr">
        <is>
          <t>YES</t>
        </is>
      </c>
      <c r="F111" t="inlineStr">
        <is>
          <t>ORIGINAL</t>
        </is>
      </c>
    </row>
    <row r="112">
      <c r="A112" t="inlineStr">
        <is>
          <t>Pershing</t>
        </is>
      </c>
      <c r="B112" t="inlineStr">
        <is>
          <t>2018-03-31</t>
        </is>
      </c>
      <c r="C112" t="inlineStr">
        <is>
          <t>2018-05-15</t>
        </is>
      </c>
      <c r="D112" t="n">
        <v>45</v>
      </c>
      <c r="E112" t="inlineStr">
        <is>
          <t>YES</t>
        </is>
      </c>
      <c r="F112" t="inlineStr">
        <is>
          <t>ORIGINAL</t>
        </is>
      </c>
    </row>
    <row r="113">
      <c r="A113" t="inlineStr">
        <is>
          <t>Pershing</t>
        </is>
      </c>
      <c r="B113" t="inlineStr">
        <is>
          <t>2018-06-30</t>
        </is>
      </c>
      <c r="C113" t="inlineStr">
        <is>
          <t>2018-08-14</t>
        </is>
      </c>
      <c r="D113" t="n">
        <v>45</v>
      </c>
      <c r="E113" t="inlineStr">
        <is>
          <t>YES</t>
        </is>
      </c>
      <c r="F113" t="inlineStr">
        <is>
          <t>ORIGINAL</t>
        </is>
      </c>
    </row>
    <row r="114">
      <c r="A114" t="inlineStr">
        <is>
          <t>Pershing</t>
        </is>
      </c>
      <c r="B114" t="inlineStr">
        <is>
          <t>2018-09-30</t>
        </is>
      </c>
      <c r="C114" t="inlineStr">
        <is>
          <t>2018-11-14</t>
        </is>
      </c>
      <c r="D114" t="n">
        <v>45</v>
      </c>
      <c r="E114" t="inlineStr">
        <is>
          <t>YES</t>
        </is>
      </c>
      <c r="F114" t="inlineStr">
        <is>
          <t>ORIGINAL</t>
        </is>
      </c>
    </row>
    <row r="115">
      <c r="A115" t="inlineStr">
        <is>
          <t>Pershing</t>
        </is>
      </c>
      <c r="B115" t="inlineStr">
        <is>
          <t>2018-12-31</t>
        </is>
      </c>
      <c r="C115" t="inlineStr">
        <is>
          <t>2019-02-14</t>
        </is>
      </c>
      <c r="D115" t="n">
        <v>45</v>
      </c>
      <c r="E115" t="inlineStr">
        <is>
          <t>YES</t>
        </is>
      </c>
      <c r="F115" t="inlineStr">
        <is>
          <t>ORIGINAL</t>
        </is>
      </c>
    </row>
    <row r="116">
      <c r="A116" t="inlineStr">
        <is>
          <t>Pershing</t>
        </is>
      </c>
      <c r="B116" t="inlineStr">
        <is>
          <t>2019-03-31</t>
        </is>
      </c>
      <c r="C116" t="inlineStr">
        <is>
          <t>2019-05-15</t>
        </is>
      </c>
      <c r="D116" t="n">
        <v>45</v>
      </c>
      <c r="E116" t="inlineStr">
        <is>
          <t>YES</t>
        </is>
      </c>
      <c r="F116" t="inlineStr">
        <is>
          <t>ORIGINAL</t>
        </is>
      </c>
    </row>
    <row r="117">
      <c r="A117" t="inlineStr">
        <is>
          <t>Pershing</t>
        </is>
      </c>
      <c r="B117" t="inlineStr">
        <is>
          <t>2019-06-30</t>
        </is>
      </c>
      <c r="C117" t="inlineStr">
        <is>
          <t>2019-08-14</t>
        </is>
      </c>
      <c r="D117" t="n">
        <v>45</v>
      </c>
      <c r="E117" t="inlineStr">
        <is>
          <t>YES</t>
        </is>
      </c>
      <c r="F117" t="inlineStr">
        <is>
          <t>ORIGINAL</t>
        </is>
      </c>
    </row>
    <row r="118">
      <c r="A118" t="inlineStr">
        <is>
          <t>Pershing</t>
        </is>
      </c>
      <c r="B118" t="inlineStr">
        <is>
          <t>2019-09-30</t>
        </is>
      </c>
      <c r="C118" t="inlineStr">
        <is>
          <t>2019-12-09</t>
        </is>
      </c>
      <c r="D118" t="n">
        <v>70</v>
      </c>
      <c r="E118" t="inlineStr"/>
      <c r="F118" t="inlineStr">
        <is>
          <t>ORIGINAL</t>
        </is>
      </c>
    </row>
    <row r="119">
      <c r="A119" t="inlineStr">
        <is>
          <t>Pershing</t>
        </is>
      </c>
      <c r="B119" t="inlineStr">
        <is>
          <t>2019-12-31</t>
        </is>
      </c>
      <c r="C119" t="inlineStr">
        <is>
          <t>2020-02-14</t>
        </is>
      </c>
      <c r="D119" t="n">
        <v>45</v>
      </c>
      <c r="E119" t="inlineStr">
        <is>
          <t>YES</t>
        </is>
      </c>
      <c r="F119" t="inlineStr">
        <is>
          <t>ORIGINAL</t>
        </is>
      </c>
    </row>
    <row r="120">
      <c r="A120" t="inlineStr">
        <is>
          <t>Pershing</t>
        </is>
      </c>
      <c r="B120" t="inlineStr">
        <is>
          <t>2020-03-31</t>
        </is>
      </c>
      <c r="C120" t="inlineStr">
        <is>
          <t>2020-05-15</t>
        </is>
      </c>
      <c r="D120" t="n">
        <v>45</v>
      </c>
      <c r="E120" t="inlineStr">
        <is>
          <t>YES</t>
        </is>
      </c>
      <c r="F120" t="inlineStr">
        <is>
          <t>ORIGINAL</t>
        </is>
      </c>
    </row>
    <row r="121">
      <c r="A121" t="inlineStr">
        <is>
          <t>Pershing</t>
        </is>
      </c>
      <c r="B121" t="inlineStr">
        <is>
          <t>2020-06-30</t>
        </is>
      </c>
      <c r="C121" t="inlineStr">
        <is>
          <t>2020-08-14</t>
        </is>
      </c>
      <c r="D121" t="n">
        <v>45</v>
      </c>
      <c r="E121" t="inlineStr">
        <is>
          <t>YES</t>
        </is>
      </c>
      <c r="F121" t="inlineStr">
        <is>
          <t>ORIGINAL</t>
        </is>
      </c>
    </row>
    <row r="122">
      <c r="A122" t="inlineStr">
        <is>
          <t>Pershing</t>
        </is>
      </c>
      <c r="B122" t="inlineStr">
        <is>
          <t>2020-09-30</t>
        </is>
      </c>
      <c r="C122" t="inlineStr">
        <is>
          <t>2020-10-23</t>
        </is>
      </c>
      <c r="D122" t="n">
        <v>23</v>
      </c>
      <c r="E122" t="inlineStr"/>
      <c r="F122" t="inlineStr">
        <is>
          <t>ORIGINAL</t>
        </is>
      </c>
    </row>
    <row r="123">
      <c r="A123" t="inlineStr">
        <is>
          <t>Pershing</t>
        </is>
      </c>
      <c r="B123" t="inlineStr">
        <is>
          <t>2020-12-31</t>
        </is>
      </c>
      <c r="C123" t="inlineStr">
        <is>
          <t>2021-02-16</t>
        </is>
      </c>
      <c r="D123" t="n">
        <v>47</v>
      </c>
      <c r="E123" t="inlineStr"/>
      <c r="F123" t="inlineStr">
        <is>
          <t>ORIGINAL</t>
        </is>
      </c>
    </row>
    <row r="124">
      <c r="A124" t="inlineStr">
        <is>
          <t>Pershing</t>
        </is>
      </c>
      <c r="B124" t="inlineStr">
        <is>
          <t>2021-03-31</t>
        </is>
      </c>
      <c r="C124" t="inlineStr">
        <is>
          <t>2021-05-17</t>
        </is>
      </c>
      <c r="D124" t="n">
        <v>47</v>
      </c>
      <c r="E124" t="inlineStr"/>
      <c r="F124" t="inlineStr">
        <is>
          <t>ORIGINAL</t>
        </is>
      </c>
    </row>
    <row r="125">
      <c r="A125" t="inlineStr">
        <is>
          <t>Pershing</t>
        </is>
      </c>
      <c r="B125" t="inlineStr">
        <is>
          <t>2021-06-30</t>
        </is>
      </c>
      <c r="C125" t="inlineStr">
        <is>
          <t>2021-08-16</t>
        </is>
      </c>
      <c r="D125" t="n">
        <v>47</v>
      </c>
      <c r="E125" t="inlineStr"/>
      <c r="F125" t="inlineStr">
        <is>
          <t>ORIGINAL</t>
        </is>
      </c>
    </row>
    <row r="126">
      <c r="A126" t="inlineStr">
        <is>
          <t>Pershing</t>
        </is>
      </c>
      <c r="B126" t="inlineStr">
        <is>
          <t>2021-09-30</t>
        </is>
      </c>
      <c r="C126" t="inlineStr">
        <is>
          <t>2021-11-15</t>
        </is>
      </c>
      <c r="D126" t="n">
        <v>46</v>
      </c>
      <c r="E126" t="inlineStr"/>
      <c r="F126" t="inlineStr">
        <is>
          <t>ORIGINAL</t>
        </is>
      </c>
    </row>
    <row r="127">
      <c r="A127" t="inlineStr">
        <is>
          <t>Pershing</t>
        </is>
      </c>
      <c r="B127" t="inlineStr">
        <is>
          <t>2021-12-31</t>
        </is>
      </c>
      <c r="C127" t="inlineStr">
        <is>
          <t>2022-03-07</t>
        </is>
      </c>
      <c r="D127" t="n">
        <v>66</v>
      </c>
      <c r="E127" t="inlineStr"/>
      <c r="F127" t="inlineStr">
        <is>
          <t>ORIGINAL</t>
        </is>
      </c>
    </row>
    <row r="128">
      <c r="A128" t="inlineStr">
        <is>
          <t>Pershing</t>
        </is>
      </c>
      <c r="B128" t="inlineStr">
        <is>
          <t>2022-03-31</t>
        </is>
      </c>
      <c r="C128" t="inlineStr">
        <is>
          <t>2022-05-16</t>
        </is>
      </c>
      <c r="D128" t="n">
        <v>46</v>
      </c>
      <c r="E128" t="inlineStr"/>
      <c r="F128" t="inlineStr">
        <is>
          <t>ORIGINAL</t>
        </is>
      </c>
    </row>
    <row r="129">
      <c r="A129" t="inlineStr">
        <is>
          <t>Pershing</t>
        </is>
      </c>
      <c r="B129" t="inlineStr">
        <is>
          <t>2022-06-30</t>
        </is>
      </c>
      <c r="C129" t="inlineStr">
        <is>
          <t>2022-08-15</t>
        </is>
      </c>
      <c r="D129" t="n">
        <v>46</v>
      </c>
      <c r="E129" t="inlineStr"/>
      <c r="F129" t="inlineStr">
        <is>
          <t>ORIGINAL</t>
        </is>
      </c>
    </row>
    <row r="130">
      <c r="A130" t="inlineStr">
        <is>
          <t>Pershing</t>
        </is>
      </c>
      <c r="B130" t="inlineStr">
        <is>
          <t>2022-09-30</t>
        </is>
      </c>
      <c r="C130" t="inlineStr">
        <is>
          <t>2022-11-14</t>
        </is>
      </c>
      <c r="D130" t="n">
        <v>45</v>
      </c>
      <c r="E130" t="inlineStr">
        <is>
          <t>YES</t>
        </is>
      </c>
      <c r="F130" t="inlineStr">
        <is>
          <t>ORIGINAL</t>
        </is>
      </c>
    </row>
    <row r="131">
      <c r="A131" t="inlineStr">
        <is>
          <t>Pershing</t>
        </is>
      </c>
      <c r="B131" t="inlineStr">
        <is>
          <t>2022-12-31</t>
        </is>
      </c>
      <c r="C131" t="inlineStr">
        <is>
          <t>2023-02-13</t>
        </is>
      </c>
      <c r="D131" t="n">
        <v>44</v>
      </c>
      <c r="E131" t="inlineStr"/>
      <c r="F131" t="inlineStr">
        <is>
          <t>ORIGINAL</t>
        </is>
      </c>
    </row>
    <row r="132">
      <c r="A132" t="inlineStr">
        <is>
          <t>Pershing</t>
        </is>
      </c>
      <c r="B132" t="inlineStr">
        <is>
          <t>2023-03-31</t>
        </is>
      </c>
      <c r="C132" t="inlineStr">
        <is>
          <t>2023-05-15</t>
        </is>
      </c>
      <c r="D132" t="n">
        <v>45</v>
      </c>
      <c r="E132" t="inlineStr">
        <is>
          <t>YES</t>
        </is>
      </c>
      <c r="F132" t="inlineStr">
        <is>
          <t>ORIGINAL</t>
        </is>
      </c>
    </row>
    <row r="133">
      <c r="A133" t="inlineStr">
        <is>
          <t>Pershing</t>
        </is>
      </c>
      <c r="B133" t="inlineStr">
        <is>
          <t>2023-06-30</t>
        </is>
      </c>
      <c r="C133" t="inlineStr">
        <is>
          <t>2023-08-14</t>
        </is>
      </c>
      <c r="D133" t="n">
        <v>45</v>
      </c>
      <c r="E133" t="inlineStr">
        <is>
          <t>YES</t>
        </is>
      </c>
      <c r="F133" t="inlineStr">
        <is>
          <t>ORIGINAL</t>
        </is>
      </c>
    </row>
    <row r="134">
      <c r="A134" t="inlineStr">
        <is>
          <t>Pershing</t>
        </is>
      </c>
      <c r="B134" t="inlineStr">
        <is>
          <t>2023-09-30</t>
        </is>
      </c>
      <c r="C134" t="inlineStr">
        <is>
          <t>2023-11-14</t>
        </is>
      </c>
      <c r="D134" t="n">
        <v>45</v>
      </c>
      <c r="E134" t="inlineStr">
        <is>
          <t>YES</t>
        </is>
      </c>
      <c r="F134" t="inlineStr">
        <is>
          <t>ORIGINAL</t>
        </is>
      </c>
    </row>
    <row r="135">
      <c r="A135" t="inlineStr">
        <is>
          <t>Pershing</t>
        </is>
      </c>
      <c r="B135" t="inlineStr">
        <is>
          <t>2023-12-31</t>
        </is>
      </c>
      <c r="C135" t="inlineStr">
        <is>
          <t>2024-02-14</t>
        </is>
      </c>
      <c r="D135" t="n">
        <v>45</v>
      </c>
      <c r="E135" t="inlineStr">
        <is>
          <t>YES</t>
        </is>
      </c>
      <c r="F135" t="inlineStr">
        <is>
          <t>ORIGINAL</t>
        </is>
      </c>
    </row>
    <row r="136">
      <c r="A136" t="inlineStr">
        <is>
          <t>Pershing</t>
        </is>
      </c>
      <c r="B136" t="inlineStr">
        <is>
          <t>2024-03-31</t>
        </is>
      </c>
      <c r="C136" t="inlineStr">
        <is>
          <t>2024-05-15</t>
        </is>
      </c>
      <c r="D136" t="n">
        <v>45</v>
      </c>
      <c r="E136" t="inlineStr">
        <is>
          <t>YES</t>
        </is>
      </c>
      <c r="F136" t="inlineStr">
        <is>
          <t>ORIGINAL</t>
        </is>
      </c>
    </row>
    <row r="137">
      <c r="A137" t="inlineStr">
        <is>
          <t>Pershing</t>
        </is>
      </c>
      <c r="B137" t="inlineStr">
        <is>
          <t>2024-06-30</t>
        </is>
      </c>
      <c r="C137" t="inlineStr">
        <is>
          <t>2024-08-14</t>
        </is>
      </c>
      <c r="D137" t="n">
        <v>45</v>
      </c>
      <c r="E137" t="inlineStr">
        <is>
          <t>YES</t>
        </is>
      </c>
      <c r="F137" t="inlineStr">
        <is>
          <t>ORIGINAL</t>
        </is>
      </c>
    </row>
    <row r="138">
      <c r="A138" t="inlineStr">
        <is>
          <t>Pershing</t>
        </is>
      </c>
      <c r="B138" t="inlineStr">
        <is>
          <t>2024-09-30</t>
        </is>
      </c>
      <c r="C138" t="inlineStr">
        <is>
          <t>2024-11-14</t>
        </is>
      </c>
      <c r="D138" t="n">
        <v>45</v>
      </c>
      <c r="E138" t="inlineStr">
        <is>
          <t>YES</t>
        </is>
      </c>
      <c r="F138" t="inlineStr">
        <is>
          <t>ORIGINAL</t>
        </is>
      </c>
    </row>
    <row r="139">
      <c r="A139" t="inlineStr">
        <is>
          <t>Pershing</t>
        </is>
      </c>
      <c r="B139" t="inlineStr">
        <is>
          <t>2024-12-31</t>
        </is>
      </c>
      <c r="C139" t="inlineStr">
        <is>
          <t>2025-04-16</t>
        </is>
      </c>
      <c r="D139" t="n">
        <v>106</v>
      </c>
      <c r="E139" t="inlineStr"/>
      <c r="F139" t="inlineStr">
        <is>
          <t>AMENDMENT?</t>
        </is>
      </c>
    </row>
    <row r="140">
      <c r="A140" t="inlineStr">
        <is>
          <t>Pershing</t>
        </is>
      </c>
      <c r="B140" t="inlineStr">
        <is>
          <t>2025-03-31</t>
        </is>
      </c>
      <c r="C140" t="inlineStr">
        <is>
          <t>2025-05-15</t>
        </is>
      </c>
      <c r="D140" t="n">
        <v>45</v>
      </c>
      <c r="E140" t="inlineStr">
        <is>
          <t>YES</t>
        </is>
      </c>
      <c r="F140" t="inlineStr">
        <is>
          <t>ORIGINAL</t>
        </is>
      </c>
    </row>
    <row r="141">
      <c r="A141" t="inlineStr">
        <is>
          <t>Pershing</t>
        </is>
      </c>
      <c r="B141" t="inlineStr">
        <is>
          <t>2025-06-30</t>
        </is>
      </c>
      <c r="C141" t="inlineStr">
        <is>
          <t>2025-08-14</t>
        </is>
      </c>
      <c r="D141" t="n">
        <v>45</v>
      </c>
      <c r="E141" t="inlineStr">
        <is>
          <t>YES</t>
        </is>
      </c>
      <c r="F141" t="inlineStr">
        <is>
          <t>ORIGINAL</t>
        </is>
      </c>
    </row>
    <row r="142">
      <c r="A142" t="inlineStr">
        <is>
          <t>Pershing</t>
        </is>
      </c>
      <c r="B142" t="inlineStr">
        <is>
          <t>2025-09-30</t>
        </is>
      </c>
      <c r="C142" t="inlineStr">
        <is>
          <t>2025-11-14</t>
        </is>
      </c>
      <c r="D142" t="n">
        <v>45</v>
      </c>
      <c r="E142" t="inlineStr">
        <is>
          <t>YES</t>
        </is>
      </c>
      <c r="F142" t="inlineStr">
        <is>
          <t>ORIGINAL</t>
        </is>
      </c>
    </row>
    <row r="143">
      <c r="A143" t="inlineStr">
        <is>
          <t>Pershing</t>
        </is>
      </c>
      <c r="B143" t="inlineStr">
        <is>
          <t>2025-12-31</t>
        </is>
      </c>
      <c r="C143" t="inlineStr">
        <is>
          <t>2026-02-17</t>
        </is>
      </c>
      <c r="D143" t="n">
        <v>48</v>
      </c>
      <c r="E143" t="inlineStr"/>
      <c r="F143" t="inlineStr">
        <is>
          <t>ORIGINAL</t>
        </is>
      </c>
    </row>
    <row r="144">
      <c r="A144" t="inlineStr">
        <is>
          <t>Pershing</t>
        </is>
      </c>
      <c r="B144" t="inlineStr">
        <is>
          <t>2026-03-31</t>
        </is>
      </c>
      <c r="C144" t="inlineStr">
        <is>
          <t>2026-05-15</t>
        </is>
      </c>
      <c r="D144" t="n">
        <v>45</v>
      </c>
      <c r="E144" t="inlineStr">
        <is>
          <t>YES</t>
        </is>
      </c>
      <c r="F144" t="inlineStr">
        <is>
          <t>ORIGINAL</t>
        </is>
      </c>
    </row>
    <row r="145">
      <c r="A145" t="inlineStr">
        <is>
          <t>Appaloosa</t>
        </is>
      </c>
      <c r="B145" t="inlineStr">
        <is>
          <t>2016-03-31</t>
        </is>
      </c>
      <c r="C145" t="inlineStr">
        <is>
          <t>2016-05-13</t>
        </is>
      </c>
      <c r="D145" t="n">
        <v>43</v>
      </c>
      <c r="E145" t="inlineStr"/>
      <c r="F145" t="inlineStr">
        <is>
          <t>ORIGINAL</t>
        </is>
      </c>
    </row>
    <row r="146">
      <c r="A146" t="inlineStr">
        <is>
          <t>Appaloosa</t>
        </is>
      </c>
      <c r="B146" t="inlineStr">
        <is>
          <t>2016-06-30</t>
        </is>
      </c>
      <c r="C146" t="inlineStr">
        <is>
          <t>2016-08-12</t>
        </is>
      </c>
      <c r="D146" t="n">
        <v>43</v>
      </c>
      <c r="E146" t="inlineStr"/>
      <c r="F146" t="inlineStr">
        <is>
          <t>ORIGINAL</t>
        </is>
      </c>
    </row>
    <row r="147">
      <c r="A147" t="inlineStr">
        <is>
          <t>Appaloosa</t>
        </is>
      </c>
      <c r="B147" t="inlineStr">
        <is>
          <t>2016-09-30</t>
        </is>
      </c>
      <c r="C147" t="inlineStr">
        <is>
          <t>2016-11-14</t>
        </is>
      </c>
      <c r="D147" t="n">
        <v>45</v>
      </c>
      <c r="E147" t="inlineStr">
        <is>
          <t>YES</t>
        </is>
      </c>
      <c r="F147" t="inlineStr">
        <is>
          <t>ORIGINAL</t>
        </is>
      </c>
    </row>
    <row r="148">
      <c r="A148" t="inlineStr">
        <is>
          <t>Appaloosa</t>
        </is>
      </c>
      <c r="B148" t="inlineStr">
        <is>
          <t>2016-12-31</t>
        </is>
      </c>
      <c r="C148" t="inlineStr">
        <is>
          <t>2017-02-14</t>
        </is>
      </c>
      <c r="D148" t="n">
        <v>45</v>
      </c>
      <c r="E148" t="inlineStr">
        <is>
          <t>YES</t>
        </is>
      </c>
      <c r="F148" t="inlineStr">
        <is>
          <t>ORIGINAL</t>
        </is>
      </c>
    </row>
    <row r="149">
      <c r="A149" t="inlineStr">
        <is>
          <t>Appaloosa</t>
        </is>
      </c>
      <c r="B149" t="inlineStr">
        <is>
          <t>2017-03-31</t>
        </is>
      </c>
      <c r="C149" t="inlineStr">
        <is>
          <t>2017-05-12</t>
        </is>
      </c>
      <c r="D149" t="n">
        <v>42</v>
      </c>
      <c r="E149" t="inlineStr"/>
      <c r="F149" t="inlineStr">
        <is>
          <t>ORIGINAL</t>
        </is>
      </c>
    </row>
    <row r="150">
      <c r="A150" t="inlineStr">
        <is>
          <t>Appaloosa</t>
        </is>
      </c>
      <c r="B150" t="inlineStr">
        <is>
          <t>2017-06-30</t>
        </is>
      </c>
      <c r="C150" t="inlineStr">
        <is>
          <t>2017-08-14</t>
        </is>
      </c>
      <c r="D150" t="n">
        <v>45</v>
      </c>
      <c r="E150" t="inlineStr">
        <is>
          <t>YES</t>
        </is>
      </c>
      <c r="F150" t="inlineStr">
        <is>
          <t>ORIGINAL</t>
        </is>
      </c>
    </row>
    <row r="151">
      <c r="A151" t="inlineStr">
        <is>
          <t>Appaloosa</t>
        </is>
      </c>
      <c r="B151" t="inlineStr">
        <is>
          <t>2017-09-30</t>
        </is>
      </c>
      <c r="C151" t="inlineStr">
        <is>
          <t>2017-11-14</t>
        </is>
      </c>
      <c r="D151" t="n">
        <v>45</v>
      </c>
      <c r="E151" t="inlineStr">
        <is>
          <t>YES</t>
        </is>
      </c>
      <c r="F151" t="inlineStr">
        <is>
          <t>ORIGINAL</t>
        </is>
      </c>
    </row>
    <row r="152">
      <c r="A152" t="inlineStr">
        <is>
          <t>Appaloosa</t>
        </is>
      </c>
      <c r="B152" t="inlineStr">
        <is>
          <t>2017-12-31</t>
        </is>
      </c>
      <c r="C152" t="inlineStr">
        <is>
          <t>2018-02-14</t>
        </is>
      </c>
      <c r="D152" t="n">
        <v>45</v>
      </c>
      <c r="E152" t="inlineStr">
        <is>
          <t>YES</t>
        </is>
      </c>
      <c r="F152" t="inlineStr">
        <is>
          <t>ORIGINAL</t>
        </is>
      </c>
    </row>
    <row r="153">
      <c r="A153" t="inlineStr">
        <is>
          <t>Appaloosa</t>
        </is>
      </c>
      <c r="B153" t="inlineStr">
        <is>
          <t>2018-03-31</t>
        </is>
      </c>
      <c r="C153" t="inlineStr">
        <is>
          <t>2018-05-15</t>
        </is>
      </c>
      <c r="D153" t="n">
        <v>45</v>
      </c>
      <c r="E153" t="inlineStr">
        <is>
          <t>YES</t>
        </is>
      </c>
      <c r="F153" t="inlineStr">
        <is>
          <t>ORIGINAL</t>
        </is>
      </c>
    </row>
    <row r="154">
      <c r="A154" t="inlineStr">
        <is>
          <t>Appaloosa</t>
        </is>
      </c>
      <c r="B154" t="inlineStr">
        <is>
          <t>2018-06-30</t>
        </is>
      </c>
      <c r="C154" t="inlineStr">
        <is>
          <t>2018-08-14</t>
        </is>
      </c>
      <c r="D154" t="n">
        <v>45</v>
      </c>
      <c r="E154" t="inlineStr">
        <is>
          <t>YES</t>
        </is>
      </c>
      <c r="F154" t="inlineStr">
        <is>
          <t>ORIGINAL</t>
        </is>
      </c>
    </row>
    <row r="155">
      <c r="A155" t="inlineStr">
        <is>
          <t>Appaloosa</t>
        </is>
      </c>
      <c r="B155" t="inlineStr">
        <is>
          <t>2018-09-30</t>
        </is>
      </c>
      <c r="C155" t="inlineStr">
        <is>
          <t>2018-11-14</t>
        </is>
      </c>
      <c r="D155" t="n">
        <v>45</v>
      </c>
      <c r="E155" t="inlineStr">
        <is>
          <t>YES</t>
        </is>
      </c>
      <c r="F155" t="inlineStr">
        <is>
          <t>ORIGINAL</t>
        </is>
      </c>
    </row>
    <row r="156">
      <c r="A156" t="inlineStr">
        <is>
          <t>Appaloosa</t>
        </is>
      </c>
      <c r="B156" t="inlineStr">
        <is>
          <t>2018-12-31</t>
        </is>
      </c>
      <c r="C156" t="inlineStr">
        <is>
          <t>2019-02-14</t>
        </is>
      </c>
      <c r="D156" t="n">
        <v>45</v>
      </c>
      <c r="E156" t="inlineStr">
        <is>
          <t>YES</t>
        </is>
      </c>
      <c r="F156" t="inlineStr">
        <is>
          <t>ORIGINAL</t>
        </is>
      </c>
    </row>
    <row r="157">
      <c r="A157" t="inlineStr">
        <is>
          <t>Appaloosa</t>
        </is>
      </c>
      <c r="B157" t="inlineStr">
        <is>
          <t>2019-03-31</t>
        </is>
      </c>
      <c r="C157" t="inlineStr">
        <is>
          <t>2019-05-15</t>
        </is>
      </c>
      <c r="D157" t="n">
        <v>45</v>
      </c>
      <c r="E157" t="inlineStr">
        <is>
          <t>YES</t>
        </is>
      </c>
      <c r="F157" t="inlineStr">
        <is>
          <t>ORIGINAL</t>
        </is>
      </c>
    </row>
    <row r="158">
      <c r="A158" t="inlineStr">
        <is>
          <t>Appaloosa</t>
        </is>
      </c>
      <c r="B158" t="inlineStr">
        <is>
          <t>2019-06-30</t>
        </is>
      </c>
      <c r="C158" t="inlineStr">
        <is>
          <t>2019-08-14</t>
        </is>
      </c>
      <c r="D158" t="n">
        <v>45</v>
      </c>
      <c r="E158" t="inlineStr">
        <is>
          <t>YES</t>
        </is>
      </c>
      <c r="F158" t="inlineStr">
        <is>
          <t>ORIGINAL</t>
        </is>
      </c>
    </row>
    <row r="159">
      <c r="A159" t="inlineStr">
        <is>
          <t>Appaloosa</t>
        </is>
      </c>
      <c r="B159" t="inlineStr">
        <is>
          <t>2019-09-30</t>
        </is>
      </c>
      <c r="C159" t="inlineStr">
        <is>
          <t>2019-11-14</t>
        </is>
      </c>
      <c r="D159" t="n">
        <v>45</v>
      </c>
      <c r="E159" t="inlineStr">
        <is>
          <t>YES</t>
        </is>
      </c>
      <c r="F159" t="inlineStr">
        <is>
          <t>ORIGINAL</t>
        </is>
      </c>
    </row>
    <row r="160">
      <c r="A160" t="inlineStr">
        <is>
          <t>Appaloosa</t>
        </is>
      </c>
      <c r="B160" t="inlineStr">
        <is>
          <t>2019-12-31</t>
        </is>
      </c>
      <c r="C160" t="inlineStr">
        <is>
          <t>2020-02-14</t>
        </is>
      </c>
      <c r="D160" t="n">
        <v>45</v>
      </c>
      <c r="E160" t="inlineStr">
        <is>
          <t>YES</t>
        </is>
      </c>
      <c r="F160" t="inlineStr">
        <is>
          <t>ORIGINAL</t>
        </is>
      </c>
    </row>
    <row r="161">
      <c r="A161" t="inlineStr">
        <is>
          <t>Appaloosa</t>
        </is>
      </c>
      <c r="B161" t="inlineStr">
        <is>
          <t>2020-03-31</t>
        </is>
      </c>
      <c r="C161" t="inlineStr">
        <is>
          <t>2020-05-15</t>
        </is>
      </c>
      <c r="D161" t="n">
        <v>45</v>
      </c>
      <c r="E161" t="inlineStr">
        <is>
          <t>YES</t>
        </is>
      </c>
      <c r="F161" t="inlineStr">
        <is>
          <t>ORIGINAL</t>
        </is>
      </c>
    </row>
    <row r="162">
      <c r="A162" t="inlineStr">
        <is>
          <t>Appaloosa</t>
        </is>
      </c>
      <c r="B162" t="inlineStr">
        <is>
          <t>2020-06-30</t>
        </is>
      </c>
      <c r="C162" t="inlineStr">
        <is>
          <t>2020-08-14</t>
        </is>
      </c>
      <c r="D162" t="n">
        <v>45</v>
      </c>
      <c r="E162" t="inlineStr">
        <is>
          <t>YES</t>
        </is>
      </c>
      <c r="F162" t="inlineStr">
        <is>
          <t>ORIGINAL</t>
        </is>
      </c>
    </row>
    <row r="163">
      <c r="A163" t="inlineStr">
        <is>
          <t>Appaloosa</t>
        </is>
      </c>
      <c r="B163" t="inlineStr">
        <is>
          <t>2020-09-30</t>
        </is>
      </c>
      <c r="C163" t="inlineStr">
        <is>
          <t>2020-11-16</t>
        </is>
      </c>
      <c r="D163" t="n">
        <v>47</v>
      </c>
      <c r="E163" t="inlineStr"/>
      <c r="F163" t="inlineStr">
        <is>
          <t>ORIGINAL</t>
        </is>
      </c>
    </row>
    <row r="164">
      <c r="A164" t="inlineStr">
        <is>
          <t>Appaloosa</t>
        </is>
      </c>
      <c r="B164" t="inlineStr">
        <is>
          <t>2020-12-31</t>
        </is>
      </c>
      <c r="C164" t="inlineStr">
        <is>
          <t>2021-02-16</t>
        </is>
      </c>
      <c r="D164" t="n">
        <v>47</v>
      </c>
      <c r="E164" t="inlineStr"/>
      <c r="F164" t="inlineStr">
        <is>
          <t>ORIGINAL</t>
        </is>
      </c>
    </row>
    <row r="165">
      <c r="A165" t="inlineStr">
        <is>
          <t>Appaloosa</t>
        </is>
      </c>
      <c r="B165" t="inlineStr">
        <is>
          <t>2021-03-31</t>
        </is>
      </c>
      <c r="C165" t="inlineStr">
        <is>
          <t>2021-05-17</t>
        </is>
      </c>
      <c r="D165" t="n">
        <v>47</v>
      </c>
      <c r="E165" t="inlineStr"/>
      <c r="F165" t="inlineStr">
        <is>
          <t>ORIGINAL</t>
        </is>
      </c>
    </row>
    <row r="166">
      <c r="A166" t="inlineStr">
        <is>
          <t>Appaloosa</t>
        </is>
      </c>
      <c r="B166" t="inlineStr">
        <is>
          <t>2021-06-30</t>
        </is>
      </c>
      <c r="C166" t="inlineStr">
        <is>
          <t>2021-08-16</t>
        </is>
      </c>
      <c r="D166" t="n">
        <v>47</v>
      </c>
      <c r="E166" t="inlineStr"/>
      <c r="F166" t="inlineStr">
        <is>
          <t>ORIGINAL</t>
        </is>
      </c>
    </row>
    <row r="167">
      <c r="A167" t="inlineStr">
        <is>
          <t>Appaloosa</t>
        </is>
      </c>
      <c r="B167" t="inlineStr">
        <is>
          <t>2021-09-30</t>
        </is>
      </c>
      <c r="C167" t="inlineStr">
        <is>
          <t>2021-11-15</t>
        </is>
      </c>
      <c r="D167" t="n">
        <v>46</v>
      </c>
      <c r="E167" t="inlineStr"/>
      <c r="F167" t="inlineStr">
        <is>
          <t>ORIGINAL</t>
        </is>
      </c>
    </row>
    <row r="168">
      <c r="A168" t="inlineStr">
        <is>
          <t>Appaloosa</t>
        </is>
      </c>
      <c r="B168" t="inlineStr">
        <is>
          <t>2021-12-31</t>
        </is>
      </c>
      <c r="C168" t="inlineStr">
        <is>
          <t>2022-02-14</t>
        </is>
      </c>
      <c r="D168" t="n">
        <v>45</v>
      </c>
      <c r="E168" t="inlineStr">
        <is>
          <t>YES</t>
        </is>
      </c>
      <c r="F168" t="inlineStr">
        <is>
          <t>ORIGINAL</t>
        </is>
      </c>
    </row>
    <row r="169">
      <c r="A169" t="inlineStr">
        <is>
          <t>Appaloosa</t>
        </is>
      </c>
      <c r="B169" t="inlineStr">
        <is>
          <t>2022-03-31</t>
        </is>
      </c>
      <c r="C169" t="inlineStr">
        <is>
          <t>2022-05-16</t>
        </is>
      </c>
      <c r="D169" t="n">
        <v>46</v>
      </c>
      <c r="E169" t="inlineStr"/>
      <c r="F169" t="inlineStr">
        <is>
          <t>ORIGINAL</t>
        </is>
      </c>
    </row>
    <row r="170">
      <c r="A170" t="inlineStr">
        <is>
          <t>Appaloosa</t>
        </is>
      </c>
      <c r="B170" t="inlineStr">
        <is>
          <t>2022-06-30</t>
        </is>
      </c>
      <c r="C170" t="inlineStr">
        <is>
          <t>2022-08-15</t>
        </is>
      </c>
      <c r="D170" t="n">
        <v>46</v>
      </c>
      <c r="E170" t="inlineStr"/>
      <c r="F170" t="inlineStr">
        <is>
          <t>ORIGINAL</t>
        </is>
      </c>
    </row>
    <row r="171">
      <c r="A171" t="inlineStr">
        <is>
          <t>Appaloosa</t>
        </is>
      </c>
      <c r="B171" t="inlineStr">
        <is>
          <t>2022-09-30</t>
        </is>
      </c>
      <c r="C171" t="inlineStr">
        <is>
          <t>2022-11-14</t>
        </is>
      </c>
      <c r="D171" t="n">
        <v>45</v>
      </c>
      <c r="E171" t="inlineStr">
        <is>
          <t>YES</t>
        </is>
      </c>
      <c r="F171" t="inlineStr">
        <is>
          <t>ORIGINAL</t>
        </is>
      </c>
    </row>
    <row r="172">
      <c r="A172" t="inlineStr">
        <is>
          <t>Appaloosa</t>
        </is>
      </c>
      <c r="B172" t="inlineStr">
        <is>
          <t>2022-12-31</t>
        </is>
      </c>
      <c r="C172" t="inlineStr">
        <is>
          <t>2023-02-14</t>
        </is>
      </c>
      <c r="D172" t="n">
        <v>45</v>
      </c>
      <c r="E172" t="inlineStr">
        <is>
          <t>YES</t>
        </is>
      </c>
      <c r="F172" t="inlineStr">
        <is>
          <t>ORIGINAL</t>
        </is>
      </c>
    </row>
    <row r="173">
      <c r="A173" t="inlineStr">
        <is>
          <t>Appaloosa</t>
        </is>
      </c>
      <c r="B173" t="inlineStr">
        <is>
          <t>2023-03-31</t>
        </is>
      </c>
      <c r="C173" t="inlineStr">
        <is>
          <t>2023-05-15</t>
        </is>
      </c>
      <c r="D173" t="n">
        <v>45</v>
      </c>
      <c r="E173" t="inlineStr">
        <is>
          <t>YES</t>
        </is>
      </c>
      <c r="F173" t="inlineStr">
        <is>
          <t>ORIGINAL</t>
        </is>
      </c>
    </row>
    <row r="174">
      <c r="A174" t="inlineStr">
        <is>
          <t>Appaloosa</t>
        </is>
      </c>
      <c r="B174" t="inlineStr">
        <is>
          <t>2023-06-30</t>
        </is>
      </c>
      <c r="C174" t="inlineStr">
        <is>
          <t>2023-08-14</t>
        </is>
      </c>
      <c r="D174" t="n">
        <v>45</v>
      </c>
      <c r="E174" t="inlineStr">
        <is>
          <t>YES</t>
        </is>
      </c>
      <c r="F174" t="inlineStr">
        <is>
          <t>ORIGINAL</t>
        </is>
      </c>
    </row>
    <row r="175">
      <c r="A175" t="inlineStr">
        <is>
          <t>Appaloosa</t>
        </is>
      </c>
      <c r="B175" t="inlineStr">
        <is>
          <t>2023-09-30</t>
        </is>
      </c>
      <c r="C175" t="inlineStr">
        <is>
          <t>2023-11-14</t>
        </is>
      </c>
      <c r="D175" t="n">
        <v>45</v>
      </c>
      <c r="E175" t="inlineStr">
        <is>
          <t>YES</t>
        </is>
      </c>
      <c r="F175" t="inlineStr">
        <is>
          <t>ORIGINAL</t>
        </is>
      </c>
    </row>
    <row r="176">
      <c r="A176" t="inlineStr">
        <is>
          <t>Appaloosa</t>
        </is>
      </c>
      <c r="B176" t="inlineStr">
        <is>
          <t>2023-12-31</t>
        </is>
      </c>
      <c r="C176" t="inlineStr">
        <is>
          <t>2024-02-14</t>
        </is>
      </c>
      <c r="D176" t="n">
        <v>45</v>
      </c>
      <c r="E176" t="inlineStr">
        <is>
          <t>YES</t>
        </is>
      </c>
      <c r="F176" t="inlineStr">
        <is>
          <t>ORIGINAL</t>
        </is>
      </c>
    </row>
    <row r="177">
      <c r="A177" t="inlineStr">
        <is>
          <t>Appaloosa</t>
        </is>
      </c>
      <c r="B177" t="inlineStr">
        <is>
          <t>2024-03-31</t>
        </is>
      </c>
      <c r="C177" t="inlineStr">
        <is>
          <t>2024-05-15</t>
        </is>
      </c>
      <c r="D177" t="n">
        <v>45</v>
      </c>
      <c r="E177" t="inlineStr">
        <is>
          <t>YES</t>
        </is>
      </c>
      <c r="F177" t="inlineStr">
        <is>
          <t>ORIGINAL</t>
        </is>
      </c>
    </row>
    <row r="178">
      <c r="A178" t="inlineStr">
        <is>
          <t>Appaloosa</t>
        </is>
      </c>
      <c r="B178" t="inlineStr">
        <is>
          <t>2024-06-30</t>
        </is>
      </c>
      <c r="C178" t="inlineStr">
        <is>
          <t>2024-08-14</t>
        </is>
      </c>
      <c r="D178" t="n">
        <v>45</v>
      </c>
      <c r="E178" t="inlineStr">
        <is>
          <t>YES</t>
        </is>
      </c>
      <c r="F178" t="inlineStr">
        <is>
          <t>ORIGINAL</t>
        </is>
      </c>
    </row>
    <row r="179">
      <c r="A179" t="inlineStr">
        <is>
          <t>Appaloosa</t>
        </is>
      </c>
      <c r="B179" t="inlineStr">
        <is>
          <t>2024-09-30</t>
        </is>
      </c>
      <c r="C179" t="inlineStr">
        <is>
          <t>2024-11-14</t>
        </is>
      </c>
      <c r="D179" t="n">
        <v>45</v>
      </c>
      <c r="E179" t="inlineStr">
        <is>
          <t>YES</t>
        </is>
      </c>
      <c r="F179" t="inlineStr">
        <is>
          <t>ORIGINAL</t>
        </is>
      </c>
    </row>
    <row r="180">
      <c r="A180" t="inlineStr">
        <is>
          <t>Appaloosa</t>
        </is>
      </c>
      <c r="B180" t="inlineStr">
        <is>
          <t>2024-12-31</t>
        </is>
      </c>
      <c r="C180" t="inlineStr">
        <is>
          <t>2025-02-10</t>
        </is>
      </c>
      <c r="D180" t="n">
        <v>41</v>
      </c>
      <c r="E180" t="inlineStr"/>
      <c r="F180" t="inlineStr">
        <is>
          <t>ORIGINAL</t>
        </is>
      </c>
    </row>
    <row r="181">
      <c r="A181" t="inlineStr">
        <is>
          <t>Appaloosa</t>
        </is>
      </c>
      <c r="B181" t="inlineStr">
        <is>
          <t>2025-03-31</t>
        </is>
      </c>
      <c r="C181" t="inlineStr">
        <is>
          <t>2025-05-15</t>
        </is>
      </c>
      <c r="D181" t="n">
        <v>45</v>
      </c>
      <c r="E181" t="inlineStr">
        <is>
          <t>YES</t>
        </is>
      </c>
      <c r="F181" t="inlineStr">
        <is>
          <t>ORIGINAL</t>
        </is>
      </c>
    </row>
    <row r="182">
      <c r="A182" t="inlineStr">
        <is>
          <t>Appaloosa</t>
        </is>
      </c>
      <c r="B182" t="inlineStr">
        <is>
          <t>2025-06-30</t>
        </is>
      </c>
      <c r="C182" t="inlineStr">
        <is>
          <t>2025-08-14</t>
        </is>
      </c>
      <c r="D182" t="n">
        <v>45</v>
      </c>
      <c r="E182" t="inlineStr">
        <is>
          <t>YES</t>
        </is>
      </c>
      <c r="F182" t="inlineStr">
        <is>
          <t>ORIGINAL</t>
        </is>
      </c>
    </row>
    <row r="183">
      <c r="A183" t="inlineStr">
        <is>
          <t>Appaloosa</t>
        </is>
      </c>
      <c r="B183" t="inlineStr">
        <is>
          <t>2025-09-30</t>
        </is>
      </c>
      <c r="C183" t="inlineStr">
        <is>
          <t>2025-11-13</t>
        </is>
      </c>
      <c r="D183" t="n">
        <v>44</v>
      </c>
      <c r="E183" t="inlineStr"/>
      <c r="F183" t="inlineStr">
        <is>
          <t>ORIGINAL</t>
        </is>
      </c>
    </row>
    <row r="184">
      <c r="A184" t="inlineStr">
        <is>
          <t>Appaloosa</t>
        </is>
      </c>
      <c r="B184" t="inlineStr">
        <is>
          <t>2025-12-31</t>
        </is>
      </c>
      <c r="C184" t="inlineStr">
        <is>
          <t>2026-02-17</t>
        </is>
      </c>
      <c r="D184" t="n">
        <v>48</v>
      </c>
      <c r="E184" t="inlineStr"/>
      <c r="F184" t="inlineStr">
        <is>
          <t>ORIGINAL</t>
        </is>
      </c>
    </row>
    <row r="185">
      <c r="A185" t="inlineStr">
        <is>
          <t>Appaloosa</t>
        </is>
      </c>
      <c r="B185" t="inlineStr">
        <is>
          <t>2026-03-31</t>
        </is>
      </c>
      <c r="C185" t="inlineStr">
        <is>
          <t>2026-05-15</t>
        </is>
      </c>
      <c r="D185" t="n">
        <v>45</v>
      </c>
      <c r="E185" t="inlineStr">
        <is>
          <t>YES</t>
        </is>
      </c>
      <c r="F185" t="inlineStr">
        <is>
          <t>ORIGINAL</t>
        </is>
      </c>
    </row>
    <row r="186">
      <c r="A186" t="inlineStr">
        <is>
          <t>Greenlight</t>
        </is>
      </c>
      <c r="B186" t="inlineStr">
        <is>
          <t>2005-12-31</t>
        </is>
      </c>
      <c r="C186" t="inlineStr">
        <is>
          <t>2006-02-14</t>
        </is>
      </c>
      <c r="D186" t="n">
        <v>45</v>
      </c>
      <c r="E186" t="inlineStr">
        <is>
          <t>YES</t>
        </is>
      </c>
      <c r="F186" t="inlineStr">
        <is>
          <t>ORIGINAL</t>
        </is>
      </c>
    </row>
    <row r="187">
      <c r="A187" t="inlineStr">
        <is>
          <t>Greenlight</t>
        </is>
      </c>
      <c r="B187" t="inlineStr">
        <is>
          <t>2006-03-31</t>
        </is>
      </c>
      <c r="C187" t="inlineStr">
        <is>
          <t>2006-05-15</t>
        </is>
      </c>
      <c r="D187" t="n">
        <v>45</v>
      </c>
      <c r="E187" t="inlineStr">
        <is>
          <t>YES</t>
        </is>
      </c>
      <c r="F187" t="inlineStr">
        <is>
          <t>ORIGINAL</t>
        </is>
      </c>
    </row>
    <row r="188">
      <c r="A188" t="inlineStr">
        <is>
          <t>Greenlight</t>
        </is>
      </c>
      <c r="B188" t="inlineStr">
        <is>
          <t>2006-06-30</t>
        </is>
      </c>
      <c r="C188" t="inlineStr">
        <is>
          <t>2006-08-14</t>
        </is>
      </c>
      <c r="D188" t="n">
        <v>45</v>
      </c>
      <c r="E188" t="inlineStr">
        <is>
          <t>YES</t>
        </is>
      </c>
      <c r="F188" t="inlineStr">
        <is>
          <t>ORIGINAL</t>
        </is>
      </c>
    </row>
    <row r="189">
      <c r="A189" t="inlineStr">
        <is>
          <t>Greenlight</t>
        </is>
      </c>
      <c r="B189" t="inlineStr">
        <is>
          <t>2006-09-30</t>
        </is>
      </c>
      <c r="C189" t="inlineStr">
        <is>
          <t>2006-11-14</t>
        </is>
      </c>
      <c r="D189" t="n">
        <v>45</v>
      </c>
      <c r="E189" t="inlineStr">
        <is>
          <t>YES</t>
        </is>
      </c>
      <c r="F189" t="inlineStr">
        <is>
          <t>ORIGINAL</t>
        </is>
      </c>
    </row>
    <row r="190">
      <c r="A190" t="inlineStr">
        <is>
          <t>Greenlight</t>
        </is>
      </c>
      <c r="B190" t="inlineStr">
        <is>
          <t>2006-12-31</t>
        </is>
      </c>
      <c r="C190" t="inlineStr">
        <is>
          <t>2007-02-14</t>
        </is>
      </c>
      <c r="D190" t="n">
        <v>45</v>
      </c>
      <c r="E190" t="inlineStr">
        <is>
          <t>YES</t>
        </is>
      </c>
      <c r="F190" t="inlineStr">
        <is>
          <t>ORIGINAL</t>
        </is>
      </c>
    </row>
    <row r="191">
      <c r="A191" t="inlineStr">
        <is>
          <t>Greenlight</t>
        </is>
      </c>
      <c r="B191" t="inlineStr">
        <is>
          <t>2007-03-31</t>
        </is>
      </c>
      <c r="C191" t="inlineStr">
        <is>
          <t>2007-05-15</t>
        </is>
      </c>
      <c r="D191" t="n">
        <v>45</v>
      </c>
      <c r="E191" t="inlineStr">
        <is>
          <t>YES</t>
        </is>
      </c>
      <c r="F191" t="inlineStr">
        <is>
          <t>ORIGINAL</t>
        </is>
      </c>
    </row>
    <row r="192">
      <c r="A192" t="inlineStr">
        <is>
          <t>Greenlight</t>
        </is>
      </c>
      <c r="B192" t="inlineStr">
        <is>
          <t>2007-06-30</t>
        </is>
      </c>
      <c r="C192" t="inlineStr">
        <is>
          <t>2007-08-14</t>
        </is>
      </c>
      <c r="D192" t="n">
        <v>45</v>
      </c>
      <c r="E192" t="inlineStr">
        <is>
          <t>YES</t>
        </is>
      </c>
      <c r="F192" t="inlineStr">
        <is>
          <t>ORIGINAL</t>
        </is>
      </c>
    </row>
    <row r="193">
      <c r="A193" t="inlineStr">
        <is>
          <t>Greenlight</t>
        </is>
      </c>
      <c r="B193" t="inlineStr">
        <is>
          <t>2007-09-30</t>
        </is>
      </c>
      <c r="C193" t="inlineStr">
        <is>
          <t>2007-11-14</t>
        </is>
      </c>
      <c r="D193" t="n">
        <v>45</v>
      </c>
      <c r="E193" t="inlineStr">
        <is>
          <t>YES</t>
        </is>
      </c>
      <c r="F193" t="inlineStr">
        <is>
          <t>ORIGINAL</t>
        </is>
      </c>
    </row>
    <row r="194">
      <c r="A194" t="inlineStr">
        <is>
          <t>Greenlight</t>
        </is>
      </c>
      <c r="B194" t="inlineStr">
        <is>
          <t>2007-12-31</t>
        </is>
      </c>
      <c r="C194" t="inlineStr">
        <is>
          <t>2008-02-14</t>
        </is>
      </c>
      <c r="D194" t="n">
        <v>45</v>
      </c>
      <c r="E194" t="inlineStr">
        <is>
          <t>YES</t>
        </is>
      </c>
      <c r="F194" t="inlineStr">
        <is>
          <t>ORIGINAL</t>
        </is>
      </c>
    </row>
    <row r="195">
      <c r="A195" t="inlineStr">
        <is>
          <t>Greenlight</t>
        </is>
      </c>
      <c r="B195" t="inlineStr">
        <is>
          <t>2008-03-31</t>
        </is>
      </c>
      <c r="C195" t="inlineStr">
        <is>
          <t>2008-05-15</t>
        </is>
      </c>
      <c r="D195" t="n">
        <v>45</v>
      </c>
      <c r="E195" t="inlineStr">
        <is>
          <t>YES</t>
        </is>
      </c>
      <c r="F195" t="inlineStr">
        <is>
          <t>ORIGINAL</t>
        </is>
      </c>
    </row>
    <row r="196">
      <c r="A196" t="inlineStr">
        <is>
          <t>Greenlight</t>
        </is>
      </c>
      <c r="B196" t="inlineStr">
        <is>
          <t>2008-06-30</t>
        </is>
      </c>
      <c r="C196" t="inlineStr">
        <is>
          <t>2008-08-14</t>
        </is>
      </c>
      <c r="D196" t="n">
        <v>45</v>
      </c>
      <c r="E196" t="inlineStr">
        <is>
          <t>YES</t>
        </is>
      </c>
      <c r="F196" t="inlineStr">
        <is>
          <t>ORIGINAL</t>
        </is>
      </c>
    </row>
    <row r="197">
      <c r="A197" t="inlineStr">
        <is>
          <t>Greenlight</t>
        </is>
      </c>
      <c r="B197" t="inlineStr">
        <is>
          <t>2008-09-30</t>
        </is>
      </c>
      <c r="C197" t="inlineStr">
        <is>
          <t>2008-11-14</t>
        </is>
      </c>
      <c r="D197" t="n">
        <v>45</v>
      </c>
      <c r="E197" t="inlineStr">
        <is>
          <t>YES</t>
        </is>
      </c>
      <c r="F197" t="inlineStr">
        <is>
          <t>ORIGINAL</t>
        </is>
      </c>
    </row>
    <row r="198">
      <c r="A198" t="inlineStr">
        <is>
          <t>Greenlight</t>
        </is>
      </c>
      <c r="B198" t="inlineStr">
        <is>
          <t>2008-12-31</t>
        </is>
      </c>
      <c r="C198" t="inlineStr">
        <is>
          <t>2009-02-13</t>
        </is>
      </c>
      <c r="D198" t="n">
        <v>44</v>
      </c>
      <c r="E198" t="inlineStr"/>
      <c r="F198" t="inlineStr">
        <is>
          <t>ORIGINAL</t>
        </is>
      </c>
    </row>
    <row r="199">
      <c r="A199" t="inlineStr">
        <is>
          <t>Greenlight</t>
        </is>
      </c>
      <c r="B199" t="inlineStr">
        <is>
          <t>2009-03-31</t>
        </is>
      </c>
      <c r="C199" t="inlineStr">
        <is>
          <t>2009-05-15</t>
        </is>
      </c>
      <c r="D199" t="n">
        <v>45</v>
      </c>
      <c r="E199" t="inlineStr">
        <is>
          <t>YES</t>
        </is>
      </c>
      <c r="F199" t="inlineStr">
        <is>
          <t>ORIGINAL</t>
        </is>
      </c>
    </row>
    <row r="200">
      <c r="A200" t="inlineStr">
        <is>
          <t>Greenlight</t>
        </is>
      </c>
      <c r="B200" t="inlineStr">
        <is>
          <t>2009-06-30</t>
        </is>
      </c>
      <c r="C200" t="inlineStr">
        <is>
          <t>2009-08-14</t>
        </is>
      </c>
      <c r="D200" t="n">
        <v>45</v>
      </c>
      <c r="E200" t="inlineStr">
        <is>
          <t>YES</t>
        </is>
      </c>
      <c r="F200" t="inlineStr">
        <is>
          <t>ORIGINAL</t>
        </is>
      </c>
    </row>
    <row r="201">
      <c r="A201" t="inlineStr">
        <is>
          <t>Greenlight</t>
        </is>
      </c>
      <c r="B201" t="inlineStr">
        <is>
          <t>2009-09-30</t>
        </is>
      </c>
      <c r="C201" t="inlineStr">
        <is>
          <t>2009-11-16</t>
        </is>
      </c>
      <c r="D201" t="n">
        <v>47</v>
      </c>
      <c r="E201" t="inlineStr"/>
      <c r="F201" t="inlineStr">
        <is>
          <t>ORIGINAL</t>
        </is>
      </c>
    </row>
    <row r="202">
      <c r="A202" t="inlineStr">
        <is>
          <t>Greenlight</t>
        </is>
      </c>
      <c r="B202" t="inlineStr">
        <is>
          <t>2009-12-31</t>
        </is>
      </c>
      <c r="C202" t="inlineStr">
        <is>
          <t>2010-02-16</t>
        </is>
      </c>
      <c r="D202" t="n">
        <v>47</v>
      </c>
      <c r="E202" t="inlineStr"/>
      <c r="F202" t="inlineStr">
        <is>
          <t>ORIGINAL</t>
        </is>
      </c>
    </row>
    <row r="203">
      <c r="A203" t="inlineStr">
        <is>
          <t>Greenlight</t>
        </is>
      </c>
      <c r="B203" t="inlineStr">
        <is>
          <t>2010-03-31</t>
        </is>
      </c>
      <c r="C203" t="inlineStr">
        <is>
          <t>2010-05-17</t>
        </is>
      </c>
      <c r="D203" t="n">
        <v>47</v>
      </c>
      <c r="E203" t="inlineStr"/>
      <c r="F203" t="inlineStr">
        <is>
          <t>ORIGINAL</t>
        </is>
      </c>
    </row>
    <row r="204">
      <c r="A204" t="inlineStr">
        <is>
          <t>Greenlight</t>
        </is>
      </c>
      <c r="B204" t="inlineStr">
        <is>
          <t>2010-06-30</t>
        </is>
      </c>
      <c r="C204" t="inlineStr">
        <is>
          <t>2010-08-16</t>
        </is>
      </c>
      <c r="D204" t="n">
        <v>47</v>
      </c>
      <c r="E204" t="inlineStr"/>
      <c r="F204" t="inlineStr">
        <is>
          <t>ORIGINAL</t>
        </is>
      </c>
    </row>
    <row r="205">
      <c r="A205" t="inlineStr">
        <is>
          <t>Greenlight</t>
        </is>
      </c>
      <c r="B205" t="inlineStr">
        <is>
          <t>2010-09-30</t>
        </is>
      </c>
      <c r="C205" t="inlineStr">
        <is>
          <t>2010-11-15</t>
        </is>
      </c>
      <c r="D205" t="n">
        <v>46</v>
      </c>
      <c r="E205" t="inlineStr"/>
      <c r="F205" t="inlineStr">
        <is>
          <t>ORIGINAL</t>
        </is>
      </c>
    </row>
    <row r="206">
      <c r="A206" t="inlineStr">
        <is>
          <t>Greenlight</t>
        </is>
      </c>
      <c r="B206" t="inlineStr">
        <is>
          <t>2010-12-31</t>
        </is>
      </c>
      <c r="C206" t="inlineStr">
        <is>
          <t>2011-02-14</t>
        </is>
      </c>
      <c r="D206" t="n">
        <v>45</v>
      </c>
      <c r="E206" t="inlineStr">
        <is>
          <t>YES</t>
        </is>
      </c>
      <c r="F206" t="inlineStr">
        <is>
          <t>ORIGINAL</t>
        </is>
      </c>
    </row>
    <row r="207">
      <c r="A207" t="inlineStr">
        <is>
          <t>Greenlight</t>
        </is>
      </c>
      <c r="B207" t="inlineStr">
        <is>
          <t>2011-03-31</t>
        </is>
      </c>
      <c r="C207" t="inlineStr">
        <is>
          <t>2011-05-16</t>
        </is>
      </c>
      <c r="D207" t="n">
        <v>46</v>
      </c>
      <c r="E207" t="inlineStr"/>
      <c r="F207" t="inlineStr">
        <is>
          <t>ORIGINAL</t>
        </is>
      </c>
    </row>
    <row r="208">
      <c r="A208" t="inlineStr">
        <is>
          <t>Greenlight</t>
        </is>
      </c>
      <c r="B208" t="inlineStr">
        <is>
          <t>2011-06-30</t>
        </is>
      </c>
      <c r="C208" t="inlineStr">
        <is>
          <t>2011-08-15</t>
        </is>
      </c>
      <c r="D208" t="n">
        <v>46</v>
      </c>
      <c r="E208" t="inlineStr"/>
      <c r="F208" t="inlineStr">
        <is>
          <t>ORIGINAL</t>
        </is>
      </c>
    </row>
    <row r="209">
      <c r="A209" t="inlineStr">
        <is>
          <t>Greenlight</t>
        </is>
      </c>
      <c r="B209" t="inlineStr">
        <is>
          <t>2011-09-30</t>
        </is>
      </c>
      <c r="C209" t="inlineStr">
        <is>
          <t>2011-11-14</t>
        </is>
      </c>
      <c r="D209" t="n">
        <v>45</v>
      </c>
      <c r="E209" t="inlineStr">
        <is>
          <t>YES</t>
        </is>
      </c>
      <c r="F209" t="inlineStr">
        <is>
          <t>ORIGINAL</t>
        </is>
      </c>
    </row>
    <row r="210">
      <c r="A210" t="inlineStr">
        <is>
          <t>Greenlight</t>
        </is>
      </c>
      <c r="B210" t="inlineStr">
        <is>
          <t>2011-12-31</t>
        </is>
      </c>
      <c r="C210" t="inlineStr">
        <is>
          <t>2012-02-14</t>
        </is>
      </c>
      <c r="D210" t="n">
        <v>45</v>
      </c>
      <c r="E210" t="inlineStr">
        <is>
          <t>YES</t>
        </is>
      </c>
      <c r="F210" t="inlineStr">
        <is>
          <t>ORIGINAL</t>
        </is>
      </c>
    </row>
    <row r="211">
      <c r="A211" t="inlineStr">
        <is>
          <t>Greenlight</t>
        </is>
      </c>
      <c r="B211" t="inlineStr">
        <is>
          <t>2012-03-31</t>
        </is>
      </c>
      <c r="C211" t="inlineStr">
        <is>
          <t>2012-05-15</t>
        </is>
      </c>
      <c r="D211" t="n">
        <v>45</v>
      </c>
      <c r="E211" t="inlineStr">
        <is>
          <t>YES</t>
        </is>
      </c>
      <c r="F211" t="inlineStr">
        <is>
          <t>ORIGINAL</t>
        </is>
      </c>
    </row>
    <row r="212">
      <c r="A212" t="inlineStr">
        <is>
          <t>Greenlight</t>
        </is>
      </c>
      <c r="B212" t="inlineStr">
        <is>
          <t>2012-06-30</t>
        </is>
      </c>
      <c r="C212" t="inlineStr">
        <is>
          <t>2012-08-14</t>
        </is>
      </c>
      <c r="D212" t="n">
        <v>45</v>
      </c>
      <c r="E212" t="inlineStr">
        <is>
          <t>YES</t>
        </is>
      </c>
      <c r="F212" t="inlineStr">
        <is>
          <t>ORIGINAL</t>
        </is>
      </c>
    </row>
    <row r="213">
      <c r="A213" t="inlineStr">
        <is>
          <t>Greenlight</t>
        </is>
      </c>
      <c r="B213" t="inlineStr">
        <is>
          <t>2012-09-30</t>
        </is>
      </c>
      <c r="C213" t="inlineStr">
        <is>
          <t>2012-11-14</t>
        </is>
      </c>
      <c r="D213" t="n">
        <v>45</v>
      </c>
      <c r="E213" t="inlineStr">
        <is>
          <t>YES</t>
        </is>
      </c>
      <c r="F213" t="inlineStr">
        <is>
          <t>ORIGINAL</t>
        </is>
      </c>
    </row>
    <row r="214">
      <c r="A214" t="inlineStr">
        <is>
          <t>Greenlight</t>
        </is>
      </c>
      <c r="B214" t="inlineStr">
        <is>
          <t>2012-12-31</t>
        </is>
      </c>
      <c r="C214" t="inlineStr">
        <is>
          <t>2013-02-14</t>
        </is>
      </c>
      <c r="D214" t="n">
        <v>45</v>
      </c>
      <c r="E214" t="inlineStr">
        <is>
          <t>YES</t>
        </is>
      </c>
      <c r="F214" t="inlineStr">
        <is>
          <t>ORIGINAL</t>
        </is>
      </c>
    </row>
    <row r="215">
      <c r="A215" t="inlineStr">
        <is>
          <t>Greenlight</t>
        </is>
      </c>
      <c r="B215" t="inlineStr">
        <is>
          <t>2013-03-31</t>
        </is>
      </c>
      <c r="C215" t="inlineStr">
        <is>
          <t>2013-05-15</t>
        </is>
      </c>
      <c r="D215" t="n">
        <v>45</v>
      </c>
      <c r="E215" t="inlineStr">
        <is>
          <t>YES</t>
        </is>
      </c>
      <c r="F215" t="inlineStr">
        <is>
          <t>ORIGINAL</t>
        </is>
      </c>
    </row>
    <row r="216">
      <c r="A216" t="inlineStr">
        <is>
          <t>Greenlight</t>
        </is>
      </c>
      <c r="B216" t="inlineStr">
        <is>
          <t>2013-06-30</t>
        </is>
      </c>
      <c r="C216" t="inlineStr">
        <is>
          <t>2013-08-14</t>
        </is>
      </c>
      <c r="D216" t="n">
        <v>45</v>
      </c>
      <c r="E216" t="inlineStr">
        <is>
          <t>YES</t>
        </is>
      </c>
      <c r="F216" t="inlineStr">
        <is>
          <t>ORIGINAL</t>
        </is>
      </c>
    </row>
    <row r="217">
      <c r="A217" t="inlineStr">
        <is>
          <t>Greenlight</t>
        </is>
      </c>
      <c r="B217" t="inlineStr">
        <is>
          <t>2013-09-30</t>
        </is>
      </c>
      <c r="C217" t="inlineStr">
        <is>
          <t>2013-11-25</t>
        </is>
      </c>
      <c r="D217" t="n">
        <v>56</v>
      </c>
      <c r="E217" t="inlineStr"/>
      <c r="F217" t="inlineStr">
        <is>
          <t>ORIGINAL</t>
        </is>
      </c>
    </row>
    <row r="218">
      <c r="A218" t="inlineStr">
        <is>
          <t>Greenlight</t>
        </is>
      </c>
      <c r="B218" t="inlineStr">
        <is>
          <t>2013-12-31</t>
        </is>
      </c>
      <c r="C218" t="inlineStr">
        <is>
          <t>2014-02-14</t>
        </is>
      </c>
      <c r="D218" t="n">
        <v>45</v>
      </c>
      <c r="E218" t="inlineStr">
        <is>
          <t>YES</t>
        </is>
      </c>
      <c r="F218" t="inlineStr">
        <is>
          <t>ORIGINAL</t>
        </is>
      </c>
    </row>
    <row r="219">
      <c r="A219" t="inlineStr">
        <is>
          <t>Greenlight</t>
        </is>
      </c>
      <c r="B219" t="inlineStr">
        <is>
          <t>2014-03-31</t>
        </is>
      </c>
      <c r="C219" t="inlineStr">
        <is>
          <t>2014-05-16</t>
        </is>
      </c>
      <c r="D219" t="n">
        <v>46</v>
      </c>
      <c r="E219" t="inlineStr"/>
      <c r="F219" t="inlineStr">
        <is>
          <t>ORIGINAL</t>
        </is>
      </c>
    </row>
    <row r="220">
      <c r="A220" t="inlineStr">
        <is>
          <t>Greenlight</t>
        </is>
      </c>
      <c r="B220" t="inlineStr">
        <is>
          <t>2014-06-30</t>
        </is>
      </c>
      <c r="C220" t="inlineStr">
        <is>
          <t>2014-08-14</t>
        </is>
      </c>
      <c r="D220" t="n">
        <v>45</v>
      </c>
      <c r="E220" t="inlineStr">
        <is>
          <t>YES</t>
        </is>
      </c>
      <c r="F220" t="inlineStr">
        <is>
          <t>ORIGINAL</t>
        </is>
      </c>
    </row>
    <row r="221">
      <c r="A221" t="inlineStr">
        <is>
          <t>Greenlight</t>
        </is>
      </c>
      <c r="B221" t="inlineStr">
        <is>
          <t>2014-09-30</t>
        </is>
      </c>
      <c r="C221" t="inlineStr">
        <is>
          <t>2014-11-14</t>
        </is>
      </c>
      <c r="D221" t="n">
        <v>45</v>
      </c>
      <c r="E221" t="inlineStr">
        <is>
          <t>YES</t>
        </is>
      </c>
      <c r="F221" t="inlineStr">
        <is>
          <t>ORIGINAL</t>
        </is>
      </c>
    </row>
    <row r="222">
      <c r="A222" t="inlineStr">
        <is>
          <t>Greenlight</t>
        </is>
      </c>
      <c r="B222" t="inlineStr">
        <is>
          <t>2014-12-31</t>
        </is>
      </c>
      <c r="C222" t="inlineStr">
        <is>
          <t>2015-02-13</t>
        </is>
      </c>
      <c r="D222" t="n">
        <v>44</v>
      </c>
      <c r="E222" t="inlineStr"/>
      <c r="F222" t="inlineStr">
        <is>
          <t>ORIGINAL</t>
        </is>
      </c>
    </row>
    <row r="223">
      <c r="A223" t="inlineStr">
        <is>
          <t>Greenlight</t>
        </is>
      </c>
      <c r="B223" t="inlineStr">
        <is>
          <t>2015-03-31</t>
        </is>
      </c>
      <c r="C223" t="inlineStr">
        <is>
          <t>2015-07-23</t>
        </is>
      </c>
      <c r="D223" t="n">
        <v>114</v>
      </c>
      <c r="E223" t="inlineStr"/>
      <c r="F223" t="inlineStr">
        <is>
          <t>AMENDMENT?</t>
        </is>
      </c>
    </row>
    <row r="224">
      <c r="A224" t="inlineStr">
        <is>
          <t>Greenlight</t>
        </is>
      </c>
      <c r="B224" t="inlineStr">
        <is>
          <t>2015-06-30</t>
        </is>
      </c>
      <c r="C224" t="inlineStr">
        <is>
          <t>2015-08-14</t>
        </is>
      </c>
      <c r="D224" t="n">
        <v>45</v>
      </c>
      <c r="E224" t="inlineStr">
        <is>
          <t>YES</t>
        </is>
      </c>
      <c r="F224" t="inlineStr">
        <is>
          <t>ORIGINAL</t>
        </is>
      </c>
    </row>
    <row r="225">
      <c r="A225" t="inlineStr">
        <is>
          <t>Greenlight</t>
        </is>
      </c>
      <c r="B225" t="inlineStr">
        <is>
          <t>2015-09-30</t>
        </is>
      </c>
      <c r="C225" t="inlineStr">
        <is>
          <t>2015-11-16</t>
        </is>
      </c>
      <c r="D225" t="n">
        <v>47</v>
      </c>
      <c r="E225" t="inlineStr"/>
      <c r="F225" t="inlineStr">
        <is>
          <t>ORIGINAL</t>
        </is>
      </c>
    </row>
    <row r="226">
      <c r="A226" t="inlineStr">
        <is>
          <t>Greenlight</t>
        </is>
      </c>
      <c r="B226" t="inlineStr">
        <is>
          <t>2015-12-31</t>
        </is>
      </c>
      <c r="C226" t="inlineStr">
        <is>
          <t>2016-02-16</t>
        </is>
      </c>
      <c r="D226" t="n">
        <v>47</v>
      </c>
      <c r="E226" t="inlineStr"/>
      <c r="F226" t="inlineStr">
        <is>
          <t>ORIGINAL</t>
        </is>
      </c>
    </row>
    <row r="227">
      <c r="A227" t="inlineStr">
        <is>
          <t>Greenlight</t>
        </is>
      </c>
      <c r="B227" t="inlineStr">
        <is>
          <t>2016-03-31</t>
        </is>
      </c>
      <c r="C227" t="inlineStr">
        <is>
          <t>2016-05-16</t>
        </is>
      </c>
      <c r="D227" t="n">
        <v>46</v>
      </c>
      <c r="E227" t="inlineStr"/>
      <c r="F227" t="inlineStr">
        <is>
          <t>ORIGINAL</t>
        </is>
      </c>
    </row>
    <row r="228">
      <c r="A228" t="inlineStr">
        <is>
          <t>Greenlight</t>
        </is>
      </c>
      <c r="B228" t="inlineStr">
        <is>
          <t>2016-06-30</t>
        </is>
      </c>
      <c r="C228" t="inlineStr">
        <is>
          <t>2016-08-15</t>
        </is>
      </c>
      <c r="D228" t="n">
        <v>46</v>
      </c>
      <c r="E228" t="inlineStr"/>
      <c r="F228" t="inlineStr">
        <is>
          <t>ORIGINAL</t>
        </is>
      </c>
    </row>
    <row r="229">
      <c r="A229" t="inlineStr">
        <is>
          <t>Greenlight</t>
        </is>
      </c>
      <c r="B229" t="inlineStr">
        <is>
          <t>2016-09-30</t>
        </is>
      </c>
      <c r="C229" t="inlineStr">
        <is>
          <t>2016-11-14</t>
        </is>
      </c>
      <c r="D229" t="n">
        <v>45</v>
      </c>
      <c r="E229" t="inlineStr">
        <is>
          <t>YES</t>
        </is>
      </c>
      <c r="F229" t="inlineStr">
        <is>
          <t>ORIGINAL</t>
        </is>
      </c>
    </row>
    <row r="230">
      <c r="A230" t="inlineStr">
        <is>
          <t>Greenlight</t>
        </is>
      </c>
      <c r="B230" t="inlineStr">
        <is>
          <t>2016-12-31</t>
        </is>
      </c>
      <c r="C230" t="inlineStr">
        <is>
          <t>2017-02-14</t>
        </is>
      </c>
      <c r="D230" t="n">
        <v>45</v>
      </c>
      <c r="E230" t="inlineStr">
        <is>
          <t>YES</t>
        </is>
      </c>
      <c r="F230" t="inlineStr">
        <is>
          <t>ORIGINAL</t>
        </is>
      </c>
    </row>
    <row r="231">
      <c r="A231" t="inlineStr">
        <is>
          <t>Greenlight</t>
        </is>
      </c>
      <c r="B231" t="inlineStr">
        <is>
          <t>2017-03-31</t>
        </is>
      </c>
      <c r="C231" t="inlineStr">
        <is>
          <t>2017-05-15</t>
        </is>
      </c>
      <c r="D231" t="n">
        <v>45</v>
      </c>
      <c r="E231" t="inlineStr">
        <is>
          <t>YES</t>
        </is>
      </c>
      <c r="F231" t="inlineStr">
        <is>
          <t>ORIGINAL</t>
        </is>
      </c>
    </row>
    <row r="232">
      <c r="A232" t="inlineStr">
        <is>
          <t>Greenlight</t>
        </is>
      </c>
      <c r="B232" t="inlineStr">
        <is>
          <t>2017-06-30</t>
        </is>
      </c>
      <c r="C232" t="inlineStr">
        <is>
          <t>2017-08-14</t>
        </is>
      </c>
      <c r="D232" t="n">
        <v>45</v>
      </c>
      <c r="E232" t="inlineStr">
        <is>
          <t>YES</t>
        </is>
      </c>
      <c r="F232" t="inlineStr">
        <is>
          <t>ORIGINAL</t>
        </is>
      </c>
    </row>
    <row r="233">
      <c r="A233" t="inlineStr">
        <is>
          <t>Greenlight</t>
        </is>
      </c>
      <c r="B233" t="inlineStr">
        <is>
          <t>2017-09-30</t>
        </is>
      </c>
      <c r="C233" t="inlineStr">
        <is>
          <t>2017-11-21</t>
        </is>
      </c>
      <c r="D233" t="n">
        <v>52</v>
      </c>
      <c r="E233" t="inlineStr"/>
      <c r="F233" t="inlineStr">
        <is>
          <t>ORIGINAL</t>
        </is>
      </c>
    </row>
    <row r="234">
      <c r="A234" t="inlineStr">
        <is>
          <t>Greenlight</t>
        </is>
      </c>
      <c r="B234" t="inlineStr">
        <is>
          <t>2017-12-31</t>
        </is>
      </c>
      <c r="C234" t="inlineStr">
        <is>
          <t>2018-02-14</t>
        </is>
      </c>
      <c r="D234" t="n">
        <v>45</v>
      </c>
      <c r="E234" t="inlineStr">
        <is>
          <t>YES</t>
        </is>
      </c>
      <c r="F234" t="inlineStr">
        <is>
          <t>ORIGINAL</t>
        </is>
      </c>
    </row>
    <row r="235">
      <c r="A235" t="inlineStr">
        <is>
          <t>Greenlight</t>
        </is>
      </c>
      <c r="B235" t="inlineStr">
        <is>
          <t>2018-03-31</t>
        </is>
      </c>
      <c r="C235" t="inlineStr">
        <is>
          <t>2018-05-15</t>
        </is>
      </c>
      <c r="D235" t="n">
        <v>45</v>
      </c>
      <c r="E235" t="inlineStr">
        <is>
          <t>YES</t>
        </is>
      </c>
      <c r="F235" t="inlineStr">
        <is>
          <t>ORIGINAL</t>
        </is>
      </c>
    </row>
    <row r="236">
      <c r="A236" t="inlineStr">
        <is>
          <t>Greenlight</t>
        </is>
      </c>
      <c r="B236" t="inlineStr">
        <is>
          <t>2018-06-30</t>
        </is>
      </c>
      <c r="C236" t="inlineStr">
        <is>
          <t>2018-08-14</t>
        </is>
      </c>
      <c r="D236" t="n">
        <v>45</v>
      </c>
      <c r="E236" t="inlineStr">
        <is>
          <t>YES</t>
        </is>
      </c>
      <c r="F236" t="inlineStr">
        <is>
          <t>ORIGINAL</t>
        </is>
      </c>
    </row>
    <row r="237">
      <c r="A237" t="inlineStr">
        <is>
          <t>Greenlight</t>
        </is>
      </c>
      <c r="B237" t="inlineStr">
        <is>
          <t>2018-09-30</t>
        </is>
      </c>
      <c r="C237" t="inlineStr">
        <is>
          <t>2018-11-14</t>
        </is>
      </c>
      <c r="D237" t="n">
        <v>45</v>
      </c>
      <c r="E237" t="inlineStr">
        <is>
          <t>YES</t>
        </is>
      </c>
      <c r="F237" t="inlineStr">
        <is>
          <t>ORIGINAL</t>
        </is>
      </c>
    </row>
    <row r="238">
      <c r="A238" t="inlineStr">
        <is>
          <t>Greenlight</t>
        </is>
      </c>
      <c r="B238" t="inlineStr">
        <is>
          <t>2018-12-31</t>
        </is>
      </c>
      <c r="C238" t="inlineStr">
        <is>
          <t>2019-02-14</t>
        </is>
      </c>
      <c r="D238" t="n">
        <v>45</v>
      </c>
      <c r="E238" t="inlineStr">
        <is>
          <t>YES</t>
        </is>
      </c>
      <c r="F238" t="inlineStr">
        <is>
          <t>ORIGINAL</t>
        </is>
      </c>
    </row>
    <row r="239">
      <c r="A239" t="inlineStr">
        <is>
          <t>Greenlight</t>
        </is>
      </c>
      <c r="B239" t="inlineStr">
        <is>
          <t>2019-03-31</t>
        </is>
      </c>
      <c r="C239" t="inlineStr">
        <is>
          <t>2019-05-15</t>
        </is>
      </c>
      <c r="D239" t="n">
        <v>45</v>
      </c>
      <c r="E239" t="inlineStr">
        <is>
          <t>YES</t>
        </is>
      </c>
      <c r="F239" t="inlineStr">
        <is>
          <t>ORIGINAL</t>
        </is>
      </c>
    </row>
    <row r="240">
      <c r="A240" t="inlineStr">
        <is>
          <t>Greenlight</t>
        </is>
      </c>
      <c r="B240" t="inlineStr">
        <is>
          <t>2019-06-30</t>
        </is>
      </c>
      <c r="C240" t="inlineStr">
        <is>
          <t>2019-08-14</t>
        </is>
      </c>
      <c r="D240" t="n">
        <v>45</v>
      </c>
      <c r="E240" t="inlineStr">
        <is>
          <t>YES</t>
        </is>
      </c>
      <c r="F240" t="inlineStr">
        <is>
          <t>ORIGINAL</t>
        </is>
      </c>
    </row>
    <row r="241">
      <c r="A241" t="inlineStr">
        <is>
          <t>Greenlight</t>
        </is>
      </c>
      <c r="B241" t="inlineStr">
        <is>
          <t>2019-09-30</t>
        </is>
      </c>
      <c r="C241" t="inlineStr">
        <is>
          <t>2019-11-14</t>
        </is>
      </c>
      <c r="D241" t="n">
        <v>45</v>
      </c>
      <c r="E241" t="inlineStr">
        <is>
          <t>YES</t>
        </is>
      </c>
      <c r="F241" t="inlineStr">
        <is>
          <t>ORIGINAL</t>
        </is>
      </c>
    </row>
    <row r="242">
      <c r="A242" t="inlineStr">
        <is>
          <t>Greenlight</t>
        </is>
      </c>
      <c r="B242" t="inlineStr">
        <is>
          <t>2019-12-31</t>
        </is>
      </c>
      <c r="C242" t="inlineStr">
        <is>
          <t>2020-02-14</t>
        </is>
      </c>
      <c r="D242" t="n">
        <v>45</v>
      </c>
      <c r="E242" t="inlineStr">
        <is>
          <t>YES</t>
        </is>
      </c>
      <c r="F242" t="inlineStr">
        <is>
          <t>ORIGINAL</t>
        </is>
      </c>
    </row>
    <row r="243">
      <c r="A243" t="inlineStr">
        <is>
          <t>Greenlight</t>
        </is>
      </c>
      <c r="B243" t="inlineStr">
        <is>
          <t>2020-03-31</t>
        </is>
      </c>
      <c r="C243" t="inlineStr">
        <is>
          <t>2020-05-15</t>
        </is>
      </c>
      <c r="D243" t="n">
        <v>45</v>
      </c>
      <c r="E243" t="inlineStr">
        <is>
          <t>YES</t>
        </is>
      </c>
      <c r="F243" t="inlineStr">
        <is>
          <t>ORIGINAL</t>
        </is>
      </c>
    </row>
    <row r="244">
      <c r="A244" t="inlineStr">
        <is>
          <t>Greenlight</t>
        </is>
      </c>
      <c r="B244" t="inlineStr">
        <is>
          <t>2020-06-30</t>
        </is>
      </c>
      <c r="C244" t="inlineStr">
        <is>
          <t>2020-08-14</t>
        </is>
      </c>
      <c r="D244" t="n">
        <v>45</v>
      </c>
      <c r="E244" t="inlineStr">
        <is>
          <t>YES</t>
        </is>
      </c>
      <c r="F244" t="inlineStr">
        <is>
          <t>ORIGINAL</t>
        </is>
      </c>
    </row>
    <row r="245">
      <c r="A245" t="inlineStr">
        <is>
          <t>Greenlight</t>
        </is>
      </c>
      <c r="B245" t="inlineStr">
        <is>
          <t>2020-09-30</t>
        </is>
      </c>
      <c r="C245" t="inlineStr">
        <is>
          <t>2020-11-16</t>
        </is>
      </c>
      <c r="D245" t="n">
        <v>47</v>
      </c>
      <c r="E245" t="inlineStr"/>
      <c r="F245" t="inlineStr">
        <is>
          <t>ORIGINAL</t>
        </is>
      </c>
    </row>
    <row r="246">
      <c r="A246" t="inlineStr">
        <is>
          <t>Greenlight</t>
        </is>
      </c>
      <c r="B246" t="inlineStr">
        <is>
          <t>2020-12-31</t>
        </is>
      </c>
      <c r="C246" t="inlineStr">
        <is>
          <t>2021-02-16</t>
        </is>
      </c>
      <c r="D246" t="n">
        <v>47</v>
      </c>
      <c r="E246" t="inlineStr"/>
      <c r="F246" t="inlineStr">
        <is>
          <t>ORIGINAL</t>
        </is>
      </c>
    </row>
    <row r="247">
      <c r="A247" t="inlineStr">
        <is>
          <t>Greenlight</t>
        </is>
      </c>
      <c r="B247" t="inlineStr">
        <is>
          <t>2021-03-31</t>
        </is>
      </c>
      <c r="C247" t="inlineStr">
        <is>
          <t>2021-05-17</t>
        </is>
      </c>
      <c r="D247" t="n">
        <v>47</v>
      </c>
      <c r="E247" t="inlineStr"/>
      <c r="F247" t="inlineStr">
        <is>
          <t>ORIGINAL</t>
        </is>
      </c>
    </row>
    <row r="248">
      <c r="A248" t="inlineStr">
        <is>
          <t>Greenlight</t>
        </is>
      </c>
      <c r="B248" t="inlineStr">
        <is>
          <t>2021-06-30</t>
        </is>
      </c>
      <c r="C248" t="inlineStr">
        <is>
          <t>2021-08-16</t>
        </is>
      </c>
      <c r="D248" t="n">
        <v>47</v>
      </c>
      <c r="E248" t="inlineStr"/>
      <c r="F248" t="inlineStr">
        <is>
          <t>ORIGINAL</t>
        </is>
      </c>
    </row>
    <row r="249">
      <c r="A249" t="inlineStr">
        <is>
          <t>Greenlight</t>
        </is>
      </c>
      <c r="B249" t="inlineStr">
        <is>
          <t>2021-09-30</t>
        </is>
      </c>
      <c r="C249" t="inlineStr">
        <is>
          <t>2021-11-15</t>
        </is>
      </c>
      <c r="D249" t="n">
        <v>46</v>
      </c>
      <c r="E249" t="inlineStr"/>
      <c r="F249" t="inlineStr">
        <is>
          <t>ORIGINAL</t>
        </is>
      </c>
    </row>
    <row r="250">
      <c r="A250" t="inlineStr">
        <is>
          <t>Greenlight</t>
        </is>
      </c>
      <c r="B250" t="inlineStr">
        <is>
          <t>2021-12-31</t>
        </is>
      </c>
      <c r="C250" t="inlineStr">
        <is>
          <t>2022-02-14</t>
        </is>
      </c>
      <c r="D250" t="n">
        <v>45</v>
      </c>
      <c r="E250" t="inlineStr">
        <is>
          <t>YES</t>
        </is>
      </c>
      <c r="F250" t="inlineStr">
        <is>
          <t>ORIGINAL</t>
        </is>
      </c>
    </row>
    <row r="251">
      <c r="A251" t="inlineStr">
        <is>
          <t>Greenlight</t>
        </is>
      </c>
      <c r="B251" t="inlineStr">
        <is>
          <t>2022-03-31</t>
        </is>
      </c>
      <c r="C251" t="inlineStr">
        <is>
          <t>2022-05-16</t>
        </is>
      </c>
      <c r="D251" t="n">
        <v>46</v>
      </c>
      <c r="E251" t="inlineStr"/>
      <c r="F251" t="inlineStr">
        <is>
          <t>ORIGINAL</t>
        </is>
      </c>
    </row>
    <row r="252">
      <c r="A252" t="inlineStr">
        <is>
          <t>Greenlight</t>
        </is>
      </c>
      <c r="B252" t="inlineStr">
        <is>
          <t>2022-06-30</t>
        </is>
      </c>
      <c r="C252" t="inlineStr">
        <is>
          <t>2022-08-15</t>
        </is>
      </c>
      <c r="D252" t="n">
        <v>46</v>
      </c>
      <c r="E252" t="inlineStr"/>
      <c r="F252" t="inlineStr">
        <is>
          <t>ORIGINAL</t>
        </is>
      </c>
    </row>
    <row r="253">
      <c r="A253" t="inlineStr">
        <is>
          <t>Greenlight</t>
        </is>
      </c>
      <c r="B253" t="inlineStr">
        <is>
          <t>2022-09-30</t>
        </is>
      </c>
      <c r="C253" t="inlineStr">
        <is>
          <t>2022-11-14</t>
        </is>
      </c>
      <c r="D253" t="n">
        <v>45</v>
      </c>
      <c r="E253" t="inlineStr">
        <is>
          <t>YES</t>
        </is>
      </c>
      <c r="F253" t="inlineStr">
        <is>
          <t>ORIGINAL</t>
        </is>
      </c>
    </row>
    <row r="254">
      <c r="A254" t="inlineStr">
        <is>
          <t>Greenlight</t>
        </is>
      </c>
      <c r="B254" t="inlineStr">
        <is>
          <t>2022-12-31</t>
        </is>
      </c>
      <c r="C254" t="inlineStr">
        <is>
          <t>2023-02-14</t>
        </is>
      </c>
      <c r="D254" t="n">
        <v>45</v>
      </c>
      <c r="E254" t="inlineStr">
        <is>
          <t>YES</t>
        </is>
      </c>
      <c r="F254" t="inlineStr">
        <is>
          <t>ORIGINAL</t>
        </is>
      </c>
    </row>
    <row r="255">
      <c r="A255" t="inlineStr">
        <is>
          <t>Greenlight</t>
        </is>
      </c>
      <c r="B255" t="inlineStr">
        <is>
          <t>2023-03-31</t>
        </is>
      </c>
      <c r="C255" t="inlineStr">
        <is>
          <t>2023-05-15</t>
        </is>
      </c>
      <c r="D255" t="n">
        <v>45</v>
      </c>
      <c r="E255" t="inlineStr">
        <is>
          <t>YES</t>
        </is>
      </c>
      <c r="F255" t="inlineStr">
        <is>
          <t>ORIGINAL</t>
        </is>
      </c>
    </row>
    <row r="256">
      <c r="A256" t="inlineStr">
        <is>
          <t>Greenlight</t>
        </is>
      </c>
      <c r="B256" t="inlineStr">
        <is>
          <t>2023-06-30</t>
        </is>
      </c>
      <c r="C256" t="inlineStr">
        <is>
          <t>2023-08-14</t>
        </is>
      </c>
      <c r="D256" t="n">
        <v>45</v>
      </c>
      <c r="E256" t="inlineStr">
        <is>
          <t>YES</t>
        </is>
      </c>
      <c r="F256" t="inlineStr">
        <is>
          <t>ORIGINAL</t>
        </is>
      </c>
    </row>
    <row r="257">
      <c r="A257" t="inlineStr">
        <is>
          <t>Greenlight</t>
        </is>
      </c>
      <c r="B257" t="inlineStr">
        <is>
          <t>2023-09-30</t>
        </is>
      </c>
      <c r="C257" t="inlineStr">
        <is>
          <t>2023-11-14</t>
        </is>
      </c>
      <c r="D257" t="n">
        <v>45</v>
      </c>
      <c r="E257" t="inlineStr">
        <is>
          <t>YES</t>
        </is>
      </c>
      <c r="F257" t="inlineStr">
        <is>
          <t>ORIGINAL</t>
        </is>
      </c>
    </row>
    <row r="258">
      <c r="A258" t="inlineStr">
        <is>
          <t>Greenlight</t>
        </is>
      </c>
      <c r="B258" t="inlineStr">
        <is>
          <t>2023-12-31</t>
        </is>
      </c>
      <c r="C258" t="inlineStr">
        <is>
          <t>2024-02-14</t>
        </is>
      </c>
      <c r="D258" t="n">
        <v>45</v>
      </c>
      <c r="E258" t="inlineStr">
        <is>
          <t>YES</t>
        </is>
      </c>
      <c r="F258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2026-09-07T12:51:50Z</dcterms:created>
  <dcterms:modified xmlns:dcterms="http://purl.org/dc/terms/" xmlns:xsi="http://www.w3.org/2001/XMLSchema-instance" xsi:type="dcterms:W3CDTF">2026-09-07T12:51:50Z</dcterms:modified>
</cp:coreProperties>
</file>